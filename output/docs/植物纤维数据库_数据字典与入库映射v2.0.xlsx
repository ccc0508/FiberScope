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7e606a9ea741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数据表目录" sheetId="1" r:id="R1408226e473046a8"/>
    <x:sheet xmlns:r="http://schemas.openxmlformats.org/officeDocument/2006/relationships" name="02_字段数据字典" sheetId="2" r:id="R602d0540b0ad4f2f"/>
    <x:sheet xmlns:r="http://schemas.openxmlformats.org/officeDocument/2006/relationships" name="03_入库映射" sheetId="3" r:id="Rfc9057410a93454f"/>
    <x:sheet xmlns:r="http://schemas.openxmlformats.org/officeDocument/2006/relationships" name="04_规则与验收" sheetId="4" r:id="R4aef24d149094b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3">
    <x:font>
      <x:sz val="11"/>
      <x:name val="Carlito"/>
    </x:font>
    <x:font>
      <x:b/>
      <x:sz val="17"/>
      <x:color rgb="FFFFFFFF"/>
      <x:name val="Microsoft YaHei"/>
    </x:font>
    <x:font>
      <x:sz val="10"/>
      <x:color rgb="FF1F2937"/>
      <x:name val="Microsoft YaHei"/>
    </x:font>
    <x:font>
      <x:b/>
      <x:sz val="11"/>
      <x:color rgb="FF1F4E78"/>
      <x:name val="Microsoft YaHei"/>
    </x:font>
    <x:font>
      <x:sz val="9"/>
      <x:color rgb="FF1F2937"/>
      <x:name val="Microsoft YaHei"/>
    </x:font>
    <x:font>
      <x:b/>
      <x:sz val="9"/>
      <x:color rgb="FFFFFFFF"/>
      <x:name val="Microsoft YaHei"/>
    </x:font>
    <x:font>
      <x:b/>
      <x:sz val="9"/>
      <x:color rgb="FF1F4E78"/>
      <x:name val="Microsoft YaHei"/>
    </x:font>
    <x:font>
      <x:sz val="9"/>
      <x:color rgb="FF375623"/>
      <x:name val="Microsoft YaHei"/>
    </x:font>
    <x:font>
      <x:sz val="11"/>
      <x:color rgb="FF375623"/>
      <x:name val="Carlito"/>
    </x:font>
    <x:font>
      <x:sz val="11"/>
      <x:color rgb="FFC00000"/>
      <x:name val="Carlito"/>
    </x:font>
    <x:font>
      <x:sz val="9"/>
      <x:color rgb="FFC00000"/>
      <x:name val="Microsoft YaHei"/>
    </x:font>
    <x:font>
      <x:sz val="9"/>
      <x:color rgb="FF9C6500"/>
      <x:name val="Microsoft YaHei"/>
    </x:font>
    <x:font>
      <x:sz val="11"/>
      <x:color rgb="FF9C65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4CCCC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4" borderId="3" xfId="0" applyNumberFormat="1" applyFont="1" applyFill="1" applyBorder="1" applyAlignment="1">
      <x:alignment vertical="top" wrapText="1"/>
    </x:xf>
    <x:xf numFmtId="0" fontId="5" fillId="4" borderId="3" xfId="0" applyNumberFormat="1" applyFont="1" applyFill="1" applyBorder="1" applyAlignment="1">
      <x:alignment horizontal="center" vertical="top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200" fontId="4" fillId="5" borderId="2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 wrapText="1"/>
    </x:xf>
    <x:xf numFmtId="200" fontId="6" fillId="5" borderId="2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2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4" fillId="8" borderId="2" xfId="0" applyNumberFormat="1" applyFont="1" applyFill="1" applyBorder="1" applyAlignment="1">
      <x:alignment vertical="top" wrapText="1"/>
    </x:xf>
    <x:xf numFmtId="0" fontId="5" fillId="8" borderId="2" xfId="0" applyNumberFormat="1" applyFont="1" applyFill="1" applyBorder="1" applyAlignment="1">
      <x:alignment vertical="top" wrapText="1"/>
    </x:xf>
    <x:xf numFmtId="0" fontId="5" fillId="8" borderId="2" xfId="0" applyNumberFormat="1" applyFont="1" applyFill="1" applyBorder="1" applyAlignment="1">
      <x:alignment horizontal="center" vertical="top" wrapText="1"/>
    </x:xf>
    <x:xf numFmtId="0" fontId="5" fillId="8" borderId="2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vertical="top" wrapText="1"/>
    </x:xf>
    <x:xf numFmtId="0" fontId="10" fillId="7" borderId="2" xfId="0" applyNumberFormat="1" applyFont="1" applyFill="1" applyBorder="1" applyAlignment="1">
      <x:alignment vertical="top" wrapText="1"/>
    </x:xf>
    <x:xf numFmtId="0" fontId="4" fillId="9" borderId="2" xfId="0" applyNumberFormat="1" applyFont="1" applyFill="1" applyBorder="1" applyAlignment="1">
      <x:alignment vertical="top" wrapText="1"/>
    </x:xf>
    <x:xf numFmtId="0" fontId="11" fillId="9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</x:cellXfs>
  <x:cellStyles count="1">
    <x:cellStyle name="Normal" xfId="0"/>
  </x:cellStyles>
  <x:dxfs count="10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5700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i/>
        <x:color rgb="FF666666"/>
      </x:font>
      <x:fill>
        <x:patternFill>
          <x:bgColor rgb="FFE7E6E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38cabffd2f4380" /><Relationship Type="http://schemas.openxmlformats.org/officeDocument/2006/relationships/theme" Target="/xl/theme/theme1.xml" Id="Rc0ebd964225d43a1" /><Relationship Type="http://schemas.openxmlformats.org/officeDocument/2006/relationships/sharedStrings" Target="/xl/sharedStrings.xml" Id="Rbca0cb84240644d1" /><Relationship Type="http://schemas.openxmlformats.org/officeDocument/2006/relationships/worksheet" Target="/xl/worksheets/sheet1.xml" Id="R1408226e473046a8" /><Relationship Type="http://schemas.openxmlformats.org/officeDocument/2006/relationships/worksheet" Target="/xl/worksheets/sheet2.xml" Id="R602d0540b0ad4f2f" /><Relationship Type="http://schemas.openxmlformats.org/officeDocument/2006/relationships/worksheet" Target="/xl/worksheets/sheet3.xml" Id="Rfc9057410a93454f" /><Relationship Type="http://schemas.openxmlformats.org/officeDocument/2006/relationships/worksheet" Target="/xl/worksheets/sheet4.xml" Id="R4aef24d149094b61" /></Relationships>
</file>

<file path=xl/tables/table1.xml><?xml version="1.0" encoding="utf-8"?>
<x:table xmlns:x="http://schemas.openxmlformats.org/spreadsheetml/2006/main" id="1" name="TableCatalog" displayName="TableCatalog" ref="A5:H13" headerRowCount="1" totalsRowCount="0" totalsRowShown="0">
  <x:autoFilter ref="A5:H13"/>
  <x:tableColumns count="8">
    <x:tableColumn id="1" name="序号"/>
    <x:tableColumn id="2" name="表名"/>
    <x:tableColumn id="3" name="中文名称"/>
    <x:tableColumn id="4" name="主要作用"/>
    <x:tableColumn id="5" name="数据粒度"/>
    <x:tableColumn id="6" name="主键"/>
    <x:tableColumn id="7" name="预计记录数"/>
    <x:tableColumn id="8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Inventory" displayName="SourceInventory" ref="A17:H28" headerRowCount="1" totalsRowCount="0" totalsRowShown="0">
  <x:autoFilter ref="A17:H28"/>
  <x:tableColumns count="8">
    <x:tableColumn id="1" name="序号"/>
    <x:tableColumn id="2" name="文件名"/>
    <x:tableColumn id="3" name="数据内容"/>
    <x:tableColumn id="4" name="版本"/>
    <x:tableColumn id="5" name="有效工作表"/>
    <x:tableColumn id="6" name="数据行数"/>
    <x:tableColumn id="7" name="目标表"/>
    <x:tableColumn id="8" name="处理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4:L60" headerRowCount="1" totalsRowCount="0" totalsRowShown="0">
  <x:autoFilter ref="A4:L60"/>
  <x:tableColumns count="12">
    <x:tableColumn id="1" name="序号"/>
    <x:tableColumn id="2" name="表名"/>
    <x:tableColumn id="3" name="字段名"/>
    <x:tableColumn id="4" name="中文名称"/>
    <x:tableColumn id="5" name="PostgreSQL类型"/>
    <x:tableColumn id="6" name="键/索引"/>
    <x:tableColumn id="7" name="可为空"/>
    <x:tableColumn id="8" name="单位"/>
    <x:tableColumn id="9" name="单位状态"/>
    <x:tableColumn id="10" name="取值或约束"/>
    <x:tableColumn id="11" name="默认值"/>
    <x:tableColumn id="12" name="字段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mportMapping" displayName="ImportMapping" ref="A4:P180" headerRowCount="1" totalsRowCount="0" totalsRowShown="0">
  <x:autoFilter ref="A4:P180"/>
  <x:tableColumns count="16">
    <x:tableColumn id="1" name="映射ID"/>
    <x:tableColumn id="2" name="来源文件"/>
    <x:tableColumn id="3" name="版本"/>
    <x:tableColumn id="4" name="工作表"/>
    <x:tableColumn id="5" name="原始列序号"/>
    <x:tableColumn id="6" name="原始列名"/>
    <x:tableColumn id="7" name="原始单位"/>
    <x:tableColumn id="8" name="映射类别"/>
    <x:tableColumn id="9" name="目标表"/>
    <x:tableColumn id="10" name="目标字段"/>
    <x:tableColumn id="11" name="转换或生成规则"/>
    <x:tableColumn id="12" name="空值处理"/>
    <x:tableColumn id="13" name="校验规则"/>
    <x:tableColumn id="14" name="重复或冲突处理"/>
    <x:tableColumn id="15" name="是否导入"/>
    <x:tableColumn id="16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cceptanceBaseline" displayName="AcceptanceBaseline" ref="A5:C16" headerRowCount="1" totalsRowCount="0" totalsRowShown="0">
  <x:autoFilter ref="A5:C16"/>
  <x:tableColumns count="3">
    <x:tableColumn id="1" name="基线项目"/>
    <x:tableColumn id="2" name="预计数量"/>
    <x:tableColumn id="3" name="计算依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ualityRules" displayName="QualityRules" ref="A20:H42" headerRowCount="1" totalsRowCount="0" totalsRowShown="0">
  <x:autoFilter ref="A20:H42"/>
  <x:tableColumns count="8">
    <x:tableColumn id="1" name="规则ID"/>
    <x:tableColumn id="2" name="类别"/>
    <x:tableColumn id="3" name="检查对象"/>
    <x:tableColumn id="4" name="正式规则"/>
    <x:tableColumn id="5" name="级别"/>
    <x:tableColumn id="6" name="预期结果"/>
    <x:tableColumn id="7" name="失败处理"/>
    <x:tableColumn id="8" name="规则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43f5a609ea4ef2" /><Relationship Type="http://schemas.openxmlformats.org/officeDocument/2006/relationships/table" Target="/xl/tables/table2.xml" Id="Rcdc8b6f8c9d04f9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e26886a7a1b74c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d4428e85968b46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a80709727e14496a" /><Relationship Type="http://schemas.openxmlformats.org/officeDocument/2006/relationships/table" Target="/xl/tables/table6.xml" Id="R625e0c641f6941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4" hidden="0" customWidth="1"/>
    <x:col min="3" max="3" width="20" hidden="0" customWidth="1"/>
    <x:col min="4" max="4" width="12" hidden="0" customWidth="1"/>
    <x:col min="5" max="5" width="14" hidden="0" customWidth="1"/>
    <x:col min="6" max="6" width="12" hidden="0" customWidth="1"/>
    <x:col min="7" max="7" width="38" hidden="0" customWidth="1"/>
    <x:col min="8" max="8" width="15" hidden="0" customWidth="1"/>
  </x:cols>
  <x:sheetData>
    <x:row r="1" ht="32" customHeight="1">
      <x:c r="A1" s="3" t="str">
        <x:v>植物纤维数据库｜数据表目录与来源基线</x:v>
      </x:c>
      <x:c r="B1" s="3"/>
      <x:c r="C1" s="3"/>
      <x:c r="D1" s="3"/>
      <x:c r="E1" s="3"/>
      <x:c r="F1" s="3"/>
      <x:c r="G1" s="3"/>
      <x:c r="H1" s="3"/>
    </x:row>
    <x:row r="2" ht="36" customHeight="1">
      <x:c r="A2" s="7" t="str">
        <x:v>版本 v2.0｜PostgreSQL 18.x｜数据库 plant_fiber_db｜Schema fiber｜更新日期 2026-09-02</x:v>
      </x:c>
      <x:c r="B2" s="7"/>
      <x:c r="C2" s="7"/>
      <x:c r="D2" s="7"/>
      <x:c r="E2" s="7"/>
      <x:c r="F2" s="7"/>
      <x:c r="G2" s="7"/>
      <x:c r="H2" s="7"/>
    </x:row>
    <x:row r="4" ht="24" customHeight="1">
      <x:c r="A4" s="9" t="str">
        <x:v>一、11张正式业务表（8张核心表 + 3张扩展表）</x:v>
      </x:c>
      <x:c r="B4" s="9"/>
      <x:c r="C4" s="9"/>
      <x:c r="D4" s="9"/>
      <x:c r="E4" s="9"/>
      <x:c r="F4" s="9"/>
      <x:c r="G4" s="9"/>
      <x:c r="H4" s="9"/>
    </x:row>
    <x:row r="5" ht="30" customHeight="1">
      <x:c r="A5" s="21" t="str">
        <x:v>序号</x:v>
      </x:c>
      <x:c r="B5" s="21" t="str">
        <x:v>表名</x:v>
      </x:c>
      <x:c r="C5" s="21" t="str">
        <x:v>中文名称</x:v>
      </x:c>
      <x:c r="D5" s="21" t="str">
        <x:v>主要作用</x:v>
      </x:c>
      <x:c r="E5" s="21" t="str">
        <x:v>数据粒度</x:v>
      </x:c>
      <x:c r="F5" s="21" t="str">
        <x:v>主键</x:v>
      </x:c>
      <x:c r="G5" s="21" t="str">
        <x:v>预计记录数</x:v>
      </x:c>
      <x:c r="H5" s="21" t="str">
        <x:v>备注</x:v>
      </x:c>
    </x:row>
    <x:row r="6" ht="34" customHeight="1">
      <x:c r="A6" s="16" t="n">
        <x:v>1</x:v>
      </x:c>
      <x:c r="B6" s="16" t="str">
        <x:v>material</x:v>
      </x:c>
      <x:c r="C6" s="16" t="str">
        <x:v>基础原料表</x:v>
      </x:c>
      <x:c r="D6" s="16" t="str">
        <x:v>保存漂白针叶木浆和漂白阔叶木浆</x:v>
      </x:c>
      <x:c r="E6" s="16" t="str">
        <x:v>每行一种基础原料</x:v>
      </x:c>
      <x:c r="F6" s="22" t="str">
        <x:v>material_id</x:v>
      </x:c>
      <x:c r="G6" s="16" t="n">
        <x:v>2</x:v>
      </x:c>
      <x:c r="H6" s="16" t="str">
        <x:v>代码固定为SW、HW</x:v>
      </x:c>
    </x:row>
    <x:row r="7" ht="34" customHeight="1">
      <x:c r="A7" s="16" t="n">
        <x:v>2</x:v>
      </x:c>
      <x:c r="B7" s="16" t="str">
        <x:v>experiment</x:v>
      </x:c>
      <x:c r="C7" s="16" t="str">
        <x:v>实验表</x:v>
      </x:c>
      <x:c r="D7" s="16" t="str">
        <x:v>定义针叶木打浆、阔叶木打浆和针阔复配实验</x:v>
      </x:c>
      <x:c r="E7" s="16" t="str">
        <x:v>每行一个实验</x:v>
      </x:c>
      <x:c r="F7" s="22" t="str">
        <x:v>experiment_id</x:v>
      </x:c>
      <x:c r="G7" s="16" t="n">
        <x:v>3</x:v>
      </x:c>
      <x:c r="H7" s="16" t="str">
        <x:v>实验代码全局唯一</x:v>
      </x:c>
    </x:row>
    <x:row r="8" ht="34" customHeight="1">
      <x:c r="A8" s="16" t="n">
        <x:v>3</x:v>
      </x:c>
      <x:c r="B8" s="16" t="str">
        <x:v>sample</x:v>
      </x:c>
      <x:c r="C8" s="16" t="str">
        <x:v>唯一样本表</x:v>
      </x:c>
      <x:c r="D8" s="16" t="str">
        <x:v>保存纯浆和复配样本的全局身份</x:v>
      </x:c>
      <x:c r="E8" s="16" t="str">
        <x:v>每行一个唯一样本</x:v>
      </x:c>
      <x:c r="F8" s="22" t="str">
        <x:v>sample_id</x:v>
      </x:c>
      <x:c r="G8" s="16" t="n">
        <x:v>61</x:v>
      </x:c>
      <x:c r="H8" s="16" t="str">
        <x:v>复配端点复用纯浆样本</x:v>
      </x:c>
    </x:row>
    <x:row r="9" ht="34" customHeight="1">
      <x:c r="A9" s="16" t="n">
        <x:v>4</x:v>
      </x:c>
      <x:c r="B9" s="16" t="str">
        <x:v>experiment_sample</x:v>
      </x:c>
      <x:c r="C9" s="16" t="str">
        <x:v>实验展示点表</x:v>
      </x:c>
      <x:c r="D9" s="16" t="str">
        <x:v>记录样本在各实验中的编号、顺序和来源</x:v>
      </x:c>
      <x:c r="E9" s="16" t="str">
        <x:v>每行一个实验展示点</x:v>
      </x:c>
      <x:c r="F9" s="22" t="str">
        <x:v>experiment_id + sample_id</x:v>
      </x:c>
      <x:c r="G9" s="16" t="n">
        <x:v>63</x:v>
      </x:c>
      <x:c r="H9" s="16" t="str">
        <x:v>28个针叶木点、24个阔叶木点、11个复配点</x:v>
      </x:c>
    </x:row>
    <x:row r="10" ht="34" customHeight="1">
      <x:c r="A10" s="16" t="n">
        <x:v>5</x:v>
      </x:c>
      <x:c r="B10" s="16" t="str">
        <x:v>sample_component</x:v>
      </x:c>
      <x:c r="C10" s="16" t="str">
        <x:v>样本组成表</x:v>
      </x:c>
      <x:c r="D10" s="16" t="str">
        <x:v>保存原料比例、打浆转数和打浆度</x:v>
      </x:c>
      <x:c r="E10" s="16" t="str">
        <x:v>每行一个样本组分</x:v>
      </x:c>
      <x:c r="F10" s="22" t="str">
        <x:v>sample_id + material_id</x:v>
      </x:c>
      <x:c r="G10" s="16" t="n">
        <x:v>70</x:v>
      </x:c>
      <x:c r="H10" s="16" t="str">
        <x:v>52个纯浆组分、9个复配样本各2个组分</x:v>
      </x:c>
    </x:row>
    <x:row r="11" ht="34" customHeight="1">
      <x:c r="A11" s="16" t="n">
        <x:v>6</x:v>
      </x:c>
      <x:c r="B11" s="16" t="str">
        <x:v>fiber_measurement</x:v>
      </x:c>
      <x:c r="C11" s="16" t="str">
        <x:v>纤维特性表</x:v>
      </x:c>
      <x:c r="D11" s="16" t="str">
        <x:v>保存全部12项纤维特性</x:v>
      </x:c>
      <x:c r="E11" s="16" t="str">
        <x:v>每行一个样本的最终测量记录</x:v>
      </x:c>
      <x:c r="F11" s="22" t="str">
        <x:v>sample_id</x:v>
      </x:c>
      <x:c r="G11" s="16" t="n">
        <x:v>61</x:v>
      </x:c>
      <x:c r="H11" s="16" t="str">
        <x:v>复配端点只核对，不重复插入</x:v>
      </x:c>
    </x:row>
    <x:row r="12" ht="34" customHeight="1">
      <x:c r="A12" s="16" t="n">
        <x:v>7</x:v>
      </x:c>
      <x:c r="B12" s="16" t="str">
        <x:v>paper_measurement</x:v>
      </x:c>
      <x:c r="C12" s="16" t="str">
        <x:v>纸张性能表</x:v>
      </x:c>
      <x:c r="D12" s="16" t="str">
        <x:v>保存全部9项纸张性能及聚合方式</x:v>
      </x:c>
      <x:c r="E12" s="16" t="str">
        <x:v>每行一个样本的最终均值</x:v>
      </x:c>
      <x:c r="F12" s="22" t="str">
        <x:v>sample_id</x:v>
      </x:c>
      <x:c r="G12" s="16" t="n">
        <x:v>61</x:v>
      </x:c>
      <x:c r="H12" s="16" t="str">
        <x:v>replicate_count固定为3</x:v>
      </x:c>
    </x:row>
    <x:row r="13" ht="34" customHeight="1">
      <x:c r="A13" s="16" t="n">
        <x:v>8</x:v>
      </x:c>
      <x:c r="B13" s="16" t="str">
        <x:v>data_source</x:v>
      </x:c>
      <x:c r="C13" s="16" t="str">
        <x:v>核心数据来源表</x:v>
      </x:c>
      <x:c r="D13" s="16" t="str">
        <x:v>保存核心实验文件、工作表、原始行和版本</x:v>
      </x:c>
      <x:c r="E13" s="16" t="str">
        <x:v>每行一个核心来源数据行</x:v>
      </x:c>
      <x:c r="F13" s="22" t="str">
        <x:v>source_id</x:v>
      </x:c>
      <x:c r="G13" s="16" t="n">
        <x:v>178</x:v>
      </x:c>
      <x:c r="H13" s="16" t="str">
        <x:v>追溯8份核心实验Excel</x:v>
      </x:c>
    </x:row>
    <x:row r="14">
      <x:c r="A14" t="n">
        <x:v>9</x:v>
      </x:c>
      <x:c r="B14" t="str">
        <x:v>recycled_dataset</x:v>
      </x:c>
      <x:c r="C14" t="str">
        <x:v>再生纸浆数据集表</x:v>
      </x:c>
      <x:c r="D14" t="str">
        <x:v>保存汇总工作簿、版本、散列和导入元数据</x:v>
      </x:c>
      <x:c r="E14" t="str">
        <x:v>每行一个来源数据集</x:v>
      </x:c>
      <x:c r="F14" t="str">
        <x:v>dataset_id</x:v>
      </x:c>
      <x:c r="G14" t="n">
        <x:v>1</x:v>
      </x:c>
      <x:c r="H14" t="str">
        <x:v>对应数据汇总正式汇总版</x:v>
      </x:c>
    </x:row>
    <x:row r="15">
      <x:c r="A15" t="n">
        <x:v>10</x:v>
      </x:c>
      <x:c r="B15" t="str">
        <x:v>recycled_data_block</x:v>
      </x:c>
      <x:c r="C15" t="str">
        <x:v>再生纸浆数据块表</x:v>
      </x:c>
      <x:c r="D15" t="str">
        <x:v>保存G01-G14及来源元数据</x:v>
      </x:c>
      <x:c r="E15" t="str">
        <x:v>每行一个连续数据块</x:v>
      </x:c>
      <x:c r="F15" t="str">
        <x:v>block_id</x:v>
      </x:c>
      <x:c r="G15" t="n">
        <x:v>14</x:v>
      </x:c>
      <x:c r="H15" t="str">
        <x:v>正式处理条件暂为unknown</x:v>
      </x:c>
    </x:row>
    <x:row r="16" ht="24" customHeight="1">
      <x:c r="A16" s="9" t="n">
        <x:v>11</x:v>
      </x:c>
      <x:c r="B16" s="9" t="str">
        <x:v>recycled_cycle_observation</x:v>
      </x:c>
      <x:c r="C16" s="9" t="str">
        <x:v>再生纸浆逐行观测表</x:v>
      </x:c>
      <x:c r="D16" s="9" t="str">
        <x:v>保存循环、重复、源行和25项原始指标</x:v>
      </x:c>
      <x:c r="E16" s="9" t="str">
        <x:v>每行一次原始观测</x:v>
      </x:c>
      <x:c r="F16" s="9" t="str">
        <x:v>observation_id</x:v>
      </x:c>
      <x:c r="G16" s="9" t="n">
        <x:v>131</x:v>
      </x:c>
      <x:c r="H16" s="9" t="str">
        <x:v>原值不平均、不自动归一化</x:v>
      </x:c>
    </x:row>
    <x:row r="17" ht="30" customHeight="1">
      <x:c r="A17" s="21"/>
      <x:c r="B17" s="21"/>
      <x:c r="C17" s="21"/>
      <x:c r="D17" s="21"/>
      <x:c r="E17" s="21"/>
      <x:c r="F17" s="21"/>
      <x:c r="G17" s="21"/>
      <x:c r="H17" s="21"/>
    </x:row>
    <x:row r="18" ht="34" customHeight="1">
      <x:c r="A18" s="16"/>
      <x:c r="B18" s="16"/>
      <x:c r="C18" s="16"/>
      <x:c r="D18" s="16"/>
      <x:c r="E18" s="16"/>
      <x:c r="F18" s="22"/>
      <x:c r="G18" s="16"/>
      <x:c r="H18" s="16"/>
    </x:row>
    <x:row r="19" ht="34" customHeight="1">
      <x:c r="A19" s="25" t="str">
        <x:v>二、来源文件基线（9份正式来源，2份明确排除）</x:v>
      </x:c>
      <x:c r="B19" s="25"/>
      <x:c r="C19" s="25"/>
      <x:c r="D19" s="25"/>
      <x:c r="E19" s="25"/>
      <x:c r="F19" s="26"/>
      <x:c r="G19" s="25"/>
      <x:c r="H19" s="25"/>
    </x:row>
    <x:row r="20" ht="34" customHeight="1">
      <x:c r="A20" s="16" t="str">
        <x:v>序号</x:v>
      </x:c>
      <x:c r="B20" s="16" t="str">
        <x:v>文件名</x:v>
      </x:c>
      <x:c r="C20" s="16" t="str">
        <x:v>数据内容</x:v>
      </x:c>
      <x:c r="D20" s="16" t="str">
        <x:v>版本</x:v>
      </x:c>
      <x:c r="E20" s="16" t="str">
        <x:v>有效工作表</x:v>
      </x:c>
      <x:c r="F20" s="22" t="str">
        <x:v>数据行数</x:v>
      </x:c>
      <x:c r="G20" s="16" t="str">
        <x:v>目标表</x:v>
      </x:c>
      <x:c r="H20" s="16" t="str">
        <x:v>处理状态</x:v>
      </x:c>
    </x:row>
    <x:row r="21" ht="34" customHeight="1">
      <x:c r="A21" s="16" t="n">
        <x:v>1</x:v>
      </x:c>
      <x:c r="B21" s="16" t="str">
        <x:v>针叶木-打浆转数-打浆度(1).xlsx</x:v>
      </x:c>
      <x:c r="C21" s="16" t="str">
        <x:v>针叶木打浆度</x:v>
      </x:c>
      <x:c r="D21" s="16" t="str">
        <x:v>原始版</x:v>
      </x:c>
      <x:c r="E21" s="16" t="str">
        <x:v>Sheet1</x:v>
      </x:c>
      <x:c r="F21" s="22" t="n">
        <x:v>28</x:v>
      </x:c>
      <x:c r="G21" s="16" t="str">
        <x:v>sample、experiment_sample、sample_component、data_source</x:v>
      </x:c>
      <x:c r="H21" s="29" t="str">
        <x:v>正式导入</x:v>
      </x:c>
    </x:row>
    <x:row r="22" ht="34" customHeight="1">
      <x:c r="A22" s="16" t="n">
        <x:v>2</x:v>
      </x:c>
      <x:c r="B22" s="16" t="str">
        <x:v>针叶木-打浆转数-纤维特性(1).xlsx</x:v>
      </x:c>
      <x:c r="C22" s="16" t="str">
        <x:v>针叶木纤维特性</x:v>
      </x:c>
      <x:c r="D22" s="16" t="str">
        <x:v>原始版</x:v>
      </x:c>
      <x:c r="E22" s="16" t="str">
        <x:v>Sheet1</x:v>
      </x:c>
      <x:c r="F22" s="22" t="n">
        <x:v>28</x:v>
      </x:c>
      <x:c r="G22" s="16" t="str">
        <x:v>fiber_measurement、data_source</x:v>
      </x:c>
      <x:c r="H22" s="29" t="str">
        <x:v>正式导入</x:v>
      </x:c>
    </x:row>
    <x:row r="23" ht="34" customHeight="1">
      <x:c r="A23" s="16" t="n">
        <x:v>3</x:v>
      </x:c>
      <x:c r="B23" s="16" t="str">
        <x:v>针叶木-打浆转数-纸张性能(1).xlsx</x:v>
      </x:c>
      <x:c r="C23" s="16" t="str">
        <x:v>针叶木纸张性能</x:v>
      </x:c>
      <x:c r="D23" s="16" t="str">
        <x:v>原始版</x:v>
      </x:c>
      <x:c r="E23" s="16" t="str">
        <x:v>Sheet1</x:v>
      </x:c>
      <x:c r="F23" s="22" t="n">
        <x:v>28</x:v>
      </x:c>
      <x:c r="G23" s="16" t="str">
        <x:v>paper_measurement、data_source</x:v>
      </x:c>
      <x:c r="H23" s="29" t="str">
        <x:v>正式导入</x:v>
      </x:c>
    </x:row>
    <x:row r="24" ht="34" customHeight="1">
      <x:c r="A24" s="16" t="n">
        <x:v>4</x:v>
      </x:c>
      <x:c r="B24" s="16" t="str">
        <x:v>data1-阔叶木-打浆转数-打浆度(1).xlsx</x:v>
      </x:c>
      <x:c r="C24" s="16" t="str">
        <x:v>阔叶木打浆度</x:v>
      </x:c>
      <x:c r="D24" s="16" t="str">
        <x:v>原始版</x:v>
      </x:c>
      <x:c r="E24" s="16" t="str">
        <x:v>Sheet1</x:v>
      </x:c>
      <x:c r="F24" s="22" t="n">
        <x:v>24</x:v>
      </x:c>
      <x:c r="G24" s="16" t="str">
        <x:v>sample、experiment_sample、sample_component、data_source</x:v>
      </x:c>
      <x:c r="H24" s="29" t="str">
        <x:v>正式导入</x:v>
      </x:c>
    </x:row>
    <x:row r="25" ht="34" customHeight="1">
      <x:c r="A25" s="16" t="n">
        <x:v>5</x:v>
      </x:c>
      <x:c r="B25" s="16" t="str">
        <x:v>data2-阔叶木-打浆转数-纤维特性(1).xlsx</x:v>
      </x:c>
      <x:c r="C25" s="16" t="str">
        <x:v>阔叶木纤维特性</x:v>
      </x:c>
      <x:c r="D25" s="16" t="str">
        <x:v>原始版</x:v>
      </x:c>
      <x:c r="E25" s="16" t="str">
        <x:v>Sheet1</x:v>
      </x:c>
      <x:c r="F25" s="22" t="n">
        <x:v>24</x:v>
      </x:c>
      <x:c r="G25" s="16" t="str">
        <x:v>fiber_measurement、data_source</x:v>
      </x:c>
      <x:c r="H25" s="29" t="str">
        <x:v>正式导入</x:v>
      </x:c>
    </x:row>
    <x:row r="26" ht="34" customHeight="1">
      <x:c r="A26" s="16" t="n">
        <x:v>6</x:v>
      </x:c>
      <x:c r="B26" s="16" t="str">
        <x:v>data3-阔叶木-打浆转数-纸张性能(1).xlsx</x:v>
      </x:c>
      <x:c r="C26" s="16" t="str">
        <x:v>阔叶木纸张性能</x:v>
      </x:c>
      <x:c r="D26" s="16" t="str">
        <x:v>原始版</x:v>
      </x:c>
      <x:c r="E26" s="16" t="str">
        <x:v>Sheet1</x:v>
      </x:c>
      <x:c r="F26" s="22" t="n">
        <x:v>24</x:v>
      </x:c>
      <x:c r="G26" s="16" t="str">
        <x:v>paper_measurement、data_source</x:v>
      </x:c>
      <x:c r="H26" s="29" t="str">
        <x:v>正式导入</x:v>
      </x:c>
    </x:row>
    <x:row r="27" ht="34" customHeight="1">
      <x:c r="A27" s="16" t="n">
        <x:v>7</x:v>
      </x:c>
      <x:c r="B27" s="16" t="str">
        <x:v>data4-针阔-复配-纤维特性0110(1).xlsx</x:v>
      </x:c>
      <x:c r="C27" s="16" t="str">
        <x:v>复配纤维特性</x:v>
      </x:c>
      <x:c r="D27" s="16" t="str">
        <x:v>0110</x:v>
      </x:c>
      <x:c r="E27" s="16" t="str">
        <x:v>Sheet1</x:v>
      </x:c>
      <x:c r="F27" s="22" t="n">
        <x:v>11</x:v>
      </x:c>
      <x:c r="G27" s="16" t="str">
        <x:v>sample、experiment_sample、sample_component、fiber_measurement、data_source</x:v>
      </x:c>
      <x:c r="H27" s="29" t="str">
        <x:v>正式导入</x:v>
      </x:c>
    </x:row>
    <x:row r="28" ht="34" customHeight="1">
      <x:c r="A28" s="16" t="n">
        <x:v>8</x:v>
      </x:c>
      <x:c r="B28" s="16" t="str">
        <x:v>data5-针阔-复配-纸张特性0110(1).xlsx</x:v>
      </x:c>
      <x:c r="C28" s="16" t="str">
        <x:v>复配纸张性能</x:v>
      </x:c>
      <x:c r="D28" s="16" t="str">
        <x:v>0110</x:v>
      </x:c>
      <x:c r="E28" s="16" t="str">
        <x:v>Sheet1</x:v>
      </x:c>
      <x:c r="F28" s="22" t="n">
        <x:v>11</x:v>
      </x:c>
      <x:c r="G28" s="16" t="str">
        <x:v>paper_measurement、data_source</x:v>
      </x:c>
      <x:c r="H28" s="29" t="str">
        <x:v>正式导入</x:v>
      </x:c>
    </x:row>
    <x:row r="29">
      <x:c r="A29" t="n">
        <x:v>9</x:v>
      </x:c>
      <x:c r="B29" t="str">
        <x:v>数据汇总(1).xlsx</x:v>
      </x:c>
      <x:c r="C29" t="str">
        <x:v>再生纸浆循环实验</x:v>
      </x:c>
      <x:c r="D29" t="str">
        <x:v>正式汇总版</x:v>
      </x:c>
      <x:c r="E29" t="str">
        <x:v>Sheet1</x:v>
      </x:c>
      <x:c r="F29" t="n">
        <x:v>131</x:v>
      </x:c>
      <x:c r="G29" t="str">
        <x:v>recycled_dataset、recycled_data_block、recycled_cycle_observation</x:v>
      </x:c>
      <x:c r="H29" s="30" t="str">
        <x:v>正式导入（独立数据集）</x:v>
      </x:c>
    </x:row>
    <x:row r="30">
      <x:c r="A30" t="n">
        <x:v>10</x:v>
      </x:c>
      <x:c r="B30" t="str">
        <x:v>data4-针阔-复配-纤维特性(1).xlsx</x:v>
      </x:c>
      <x:c r="C30" t="str">
        <x:v>复配纤维特性旧版</x:v>
      </x:c>
      <x:c r="D30" t="str">
        <x:v>旧版</x:v>
      </x:c>
      <x:c r="E30" t="str">
        <x:v>不读取</x:v>
      </x:c>
      <x:c r="F30"/>
      <x:c r="G30" t="str">
        <x:v>—</x:v>
      </x:c>
      <x:c r="H30" s="32" t="str">
        <x:v>排除</x:v>
      </x:c>
    </x:row>
    <x:row r="31">
      <x:c r="A31" t="n">
        <x:v>11</x:v>
      </x:c>
      <x:c r="B31" t="str">
        <x:v>data5-针阔-复配-纸张特性(1).xlsx</x:v>
      </x:c>
      <x:c r="C31" t="str">
        <x:v>复配纸张性能旧版</x:v>
      </x:c>
      <x:c r="D31" t="str">
        <x:v>旧版</x:v>
      </x:c>
      <x:c r="E31" t="str">
        <x:v>不读取</x:v>
      </x:c>
      <x:c r="F31"/>
      <x:c r="G31" t="str">
        <x:v>—</x:v>
      </x:c>
      <x:c r="H31" s="32" t="str">
        <x:v>排除</x:v>
      </x:c>
    </x:row>
  </x:sheetData>
  <x:mergeCells>
    <x:mergeCell ref="A1:H1"/>
    <x:mergeCell ref="A2:H2"/>
    <x:mergeCell ref="A4:H4"/>
  </x:mergeCells>
  <x:conditionalFormatting sqref="H18:H28">
    <x:cfRule type="containsText" dxfId="0" priority="1" operator="containsText" text="正式导入"/>
    <x:cfRule type="containsText" dxfId="1" priority="2" operator="containsText" text="排除"/>
  </x:conditionalFormatting>
  <x:pageMargins left="0.7" right="0.7" top="0.75" bottom="0.75" header="0.3" footer="0.3"/>
  <x:tableParts count="2">
    <x:tablePart xmlns:r="http://schemas.openxmlformats.org/officeDocument/2006/relationships" r:id="Rf043f5a609ea4ef2"/>
    <x:tablePart xmlns:r="http://schemas.openxmlformats.org/officeDocument/2006/relationships" r:id="Rcdc8b6f8c9d04f9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31" hidden="0" customWidth="1"/>
    <x:col min="4" max="4" width="22" hidden="0" customWidth="1"/>
    <x:col min="5" max="5" width="21" hidden="0" customWidth="1"/>
    <x:col min="6" max="6" width="18" hidden="0" customWidth="1"/>
    <x:col min="7" max="7" width="10" hidden="0" customWidth="1"/>
    <x:col min="8" max="8" width="18" hidden="0" customWidth="1"/>
    <x:col min="9" max="9" width="16" hidden="0" customWidth="1"/>
    <x:col min="10" max="10" width="32" hidden="0" customWidth="1"/>
    <x:col min="11" max="11" width="25" hidden="0" customWidth="1"/>
    <x:col min="12" max="12" width="44" hidden="0" customWidth="1"/>
  </x:cols>
  <x:sheetData>
    <x:row r="1" ht="32" customHeight="1">
      <x:c r="A1" s="3" t="str">
        <x:v>植物纤维数据库｜字段数据字典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6" customHeight="1">
      <x:c r="A2" s="7" t="str">
        <x:v>共114个正式字段｜8张核心表 + 3张再生纸浆扩展表｜透气度和耐折度的不确定信息继续显式标记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0" customHeight="1">
      <x:c r="A4" s="21" t="str">
        <x:v>序号</x:v>
      </x:c>
      <x:c r="B4" s="21" t="str">
        <x:v>表名</x:v>
      </x:c>
      <x:c r="C4" s="21" t="str">
        <x:v>字段名</x:v>
      </x:c>
      <x:c r="D4" s="21" t="str">
        <x:v>中文名称</x:v>
      </x:c>
      <x:c r="E4" s="21" t="str">
        <x:v>PostgreSQL类型</x:v>
      </x:c>
      <x:c r="F4" s="21" t="str">
        <x:v>键/索引</x:v>
      </x:c>
      <x:c r="G4" s="21" t="str">
        <x:v>可为空</x:v>
      </x:c>
      <x:c r="H4" s="21" t="str">
        <x:v>单位</x:v>
      </x:c>
      <x:c r="I4" s="21" t="str">
        <x:v>单位状态</x:v>
      </x:c>
      <x:c r="J4" s="21" t="str">
        <x:v>取值或约束</x:v>
      </x:c>
      <x:c r="K4" s="21" t="str">
        <x:v>默认值</x:v>
      </x:c>
      <x:c r="L4" s="21" t="str">
        <x:v>字段说明</x:v>
      </x:c>
    </x:row>
    <x:row r="5" ht="34" customHeight="1">
      <x:c r="A5" s="22" t="n">
        <x:v>1</x:v>
      </x:c>
      <x:c r="B5" s="16" t="str">
        <x:v>material</x:v>
      </x:c>
      <x:c r="C5" s="16" t="str">
        <x:v>material_id</x:v>
      </x:c>
      <x:c r="D5" s="16" t="str">
        <x:v>原料编号</x:v>
      </x:c>
      <x:c r="E5" s="16" t="str">
        <x:v>BIGINT</x:v>
      </x:c>
      <x:c r="F5" s="16" t="str">
        <x:v>主键</x:v>
      </x:c>
      <x:c r="G5" s="16" t="str">
        <x:v>否</x:v>
      </x:c>
      <x:c r="H5" s="16" t="str">
        <x:v>—</x:v>
      </x:c>
      <x:c r="I5" s="16" t="str">
        <x:v>不适用</x:v>
      </x:c>
      <x:c r="J5" s="16" t="str">
        <x:v>&gt; 0</x:v>
      </x:c>
      <x:c r="K5" s="16" t="str">
        <x:v>IDENTITY</x:v>
      </x:c>
      <x:c r="L5" s="16" t="str">
        <x:v>数据库内部编号</x:v>
      </x:c>
    </x:row>
    <x:row r="6" ht="34" customHeight="1">
      <x:c r="A6" s="22" t="n">
        <x:v>2</x:v>
      </x:c>
      <x:c r="B6" s="16" t="str">
        <x:v>material</x:v>
      </x:c>
      <x:c r="C6" s="16" t="str">
        <x:v>material_code</x:v>
      </x:c>
      <x:c r="D6" s="16" t="str">
        <x:v>原料代码</x:v>
      </x:c>
      <x:c r="E6" s="16" t="str">
        <x:v>VARCHAR(16)</x:v>
      </x:c>
      <x:c r="F6" s="16" t="str">
        <x:v>唯一键</x:v>
      </x:c>
      <x:c r="G6" s="16" t="str">
        <x:v>否</x:v>
      </x:c>
      <x:c r="H6" s="16" t="str">
        <x:v>—</x:v>
      </x:c>
      <x:c r="I6" s="16" t="str">
        <x:v>不适用</x:v>
      </x:c>
      <x:c r="J6" s="16" t="str">
        <x:v>SW或HW</x:v>
      </x:c>
      <x:c r="K6" s="16" t="str">
        <x:v>—</x:v>
      </x:c>
      <x:c r="L6" s="16" t="str">
        <x:v>用于稳定关联原料</x:v>
      </x:c>
    </x:row>
    <x:row r="7" ht="34" customHeight="1">
      <x:c r="A7" s="22" t="n">
        <x:v>3</x:v>
      </x:c>
      <x:c r="B7" s="16" t="str">
        <x:v>material</x:v>
      </x:c>
      <x:c r="C7" s="16" t="str">
        <x:v>material_name</x:v>
      </x:c>
      <x:c r="D7" s="16" t="str">
        <x:v>原料名称</x:v>
      </x:c>
      <x:c r="E7" s="16" t="str">
        <x:v>VARCHAR(64)</x:v>
      </x:c>
      <x:c r="F7" s="16" t="str">
        <x:v>—</x:v>
      </x:c>
      <x:c r="G7" s="16" t="str">
        <x:v>否</x:v>
      </x:c>
      <x:c r="H7" s="16" t="str">
        <x:v>—</x:v>
      </x:c>
      <x:c r="I7" s="16" t="str">
        <x:v>不适用</x:v>
      </x:c>
      <x:c r="J7" s="16" t="str">
        <x:v>非空</x:v>
      </x:c>
      <x:c r="K7" s="16" t="str">
        <x:v>—</x:v>
      </x:c>
      <x:c r="L7" s="16" t="str">
        <x:v>漂白针叶木浆或漂白阔叶木浆</x:v>
      </x:c>
    </x:row>
    <x:row r="8" ht="34" customHeight="1">
      <x:c r="A8" s="22" t="n">
        <x:v>4</x:v>
      </x:c>
      <x:c r="B8" s="16" t="str">
        <x:v>experiment</x:v>
      </x:c>
      <x:c r="C8" s="16" t="str">
        <x:v>experiment_id</x:v>
      </x:c>
      <x:c r="D8" s="16" t="str">
        <x:v>实验编号</x:v>
      </x:c>
      <x:c r="E8" s="16" t="str">
        <x:v>BIGINT</x:v>
      </x:c>
      <x:c r="F8" s="16" t="str">
        <x:v>主键</x:v>
      </x:c>
      <x:c r="G8" s="16" t="str">
        <x:v>否</x:v>
      </x:c>
      <x:c r="H8" s="16" t="str">
        <x:v>—</x:v>
      </x:c>
      <x:c r="I8" s="16" t="str">
        <x:v>不适用</x:v>
      </x:c>
      <x:c r="J8" s="16" t="str">
        <x:v>&gt; 0</x:v>
      </x:c>
      <x:c r="K8" s="16" t="str">
        <x:v>IDENTITY</x:v>
      </x:c>
      <x:c r="L8" s="16" t="str">
        <x:v>数据库内部实验编号</x:v>
      </x:c>
    </x:row>
    <x:row r="9" ht="34" customHeight="1">
      <x:c r="A9" s="22" t="n">
        <x:v>5</x:v>
      </x:c>
      <x:c r="B9" s="16" t="str">
        <x:v>experiment</x:v>
      </x:c>
      <x:c r="C9" s="16" t="str">
        <x:v>experiment_code</x:v>
      </x:c>
      <x:c r="D9" s="16" t="str">
        <x:v>实验代码</x:v>
      </x:c>
      <x:c r="E9" s="16" t="str">
        <x:v>VARCHAR(32)</x:v>
      </x:c>
      <x:c r="F9" s="16" t="str">
        <x:v>唯一键</x:v>
      </x:c>
      <x:c r="G9" s="16" t="str">
        <x:v>否</x:v>
      </x:c>
      <x:c r="H9" s="16" t="str">
        <x:v>—</x:v>
      </x:c>
      <x:c r="I9" s="16" t="str">
        <x:v>不适用</x:v>
      </x:c>
      <x:c r="J9" s="16" t="str">
        <x:v>SW_BEATING、HW_BEATING或BLEND</x:v>
      </x:c>
      <x:c r="K9" s="16" t="str">
        <x:v>—</x:v>
      </x:c>
      <x:c r="L9" s="16" t="str">
        <x:v>平台及导入程序使用的稳定代码</x:v>
      </x:c>
    </x:row>
    <x:row r="10" ht="34" customHeight="1">
      <x:c r="A10" s="22" t="n">
        <x:v>6</x:v>
      </x:c>
      <x:c r="B10" s="16" t="str">
        <x:v>experiment</x:v>
      </x:c>
      <x:c r="C10" s="16" t="str">
        <x:v>experiment_name</x:v>
      </x:c>
      <x:c r="D10" s="16" t="str">
        <x:v>实验名称</x:v>
      </x:c>
      <x:c r="E10" s="16" t="str">
        <x:v>VARCHAR(100)</x:v>
      </x:c>
      <x:c r="F10" s="16" t="str">
        <x:v>—</x:v>
      </x:c>
      <x:c r="G10" s="16" t="str">
        <x:v>否</x:v>
      </x:c>
      <x:c r="H10" s="16" t="str">
        <x:v>—</x:v>
      </x:c>
      <x:c r="I10" s="16" t="str">
        <x:v>不适用</x:v>
      </x:c>
      <x:c r="J10" s="16" t="str">
        <x:v>非空</x:v>
      </x:c>
      <x:c r="K10" s="16" t="str">
        <x:v>—</x:v>
      </x:c>
      <x:c r="L10" s="16" t="str">
        <x:v>平台显示名称</x:v>
      </x:c>
    </x:row>
    <x:row r="11" ht="34" customHeight="1">
      <x:c r="A11" s="22" t="n">
        <x:v>7</x:v>
      </x:c>
      <x:c r="B11" s="16" t="str">
        <x:v>experiment</x:v>
      </x:c>
      <x:c r="C11" s="16" t="str">
        <x:v>experiment_type</x:v>
      </x:c>
      <x:c r="D11" s="16" t="str">
        <x:v>实验类型</x:v>
      </x:c>
      <x:c r="E11" s="16" t="str">
        <x:v>VARCHAR(16)</x:v>
      </x:c>
      <x:c r="F11" s="16" t="str">
        <x:v>—</x:v>
      </x:c>
      <x:c r="G11" s="16" t="str">
        <x:v>否</x:v>
      </x:c>
      <x:c r="H11" s="16" t="str">
        <x:v>—</x:v>
      </x:c>
      <x:c r="I11" s="16" t="str">
        <x:v>不适用</x:v>
      </x:c>
      <x:c r="J11" s="16" t="str">
        <x:v>beating或blend</x:v>
      </x:c>
      <x:c r="K11" s="16" t="str">
        <x:v>—</x:v>
      </x:c>
      <x:c r="L11" s="16" t="str">
        <x:v>区分打浆实验和复配实验</x:v>
      </x:c>
    </x:row>
    <x:row r="12" ht="34" customHeight="1">
      <x:c r="A12" s="22" t="n">
        <x:v>8</x:v>
      </x:c>
      <x:c r="B12" s="16" t="str">
        <x:v>sample</x:v>
      </x:c>
      <x:c r="C12" s="16" t="str">
        <x:v>sample_id</x:v>
      </x:c>
      <x:c r="D12" s="16" t="str">
        <x:v>样本编号</x:v>
      </x:c>
      <x:c r="E12" s="16" t="str">
        <x:v>BIGINT</x:v>
      </x:c>
      <x:c r="F12" s="16" t="str">
        <x:v>主键</x:v>
      </x:c>
      <x:c r="G12" s="16" t="str">
        <x:v>否</x:v>
      </x:c>
      <x:c r="H12" s="16" t="str">
        <x:v>—</x:v>
      </x:c>
      <x:c r="I12" s="16" t="str">
        <x:v>不适用</x:v>
      </x:c>
      <x:c r="J12" s="16" t="str">
        <x:v>&gt; 0</x:v>
      </x:c>
      <x:c r="K12" s="16" t="str">
        <x:v>IDENTITY</x:v>
      </x:c>
      <x:c r="L12" s="16" t="str">
        <x:v>数据库内部唯一样本编号</x:v>
      </x:c>
    </x:row>
    <x:row r="13" ht="34" customHeight="1">
      <x:c r="A13" s="22" t="n">
        <x:v>9</x:v>
      </x:c>
      <x:c r="B13" s="16" t="str">
        <x:v>sample</x:v>
      </x:c>
      <x:c r="C13" s="16" t="str">
        <x:v>canonical_code</x:v>
      </x:c>
      <x:c r="D13" s="16" t="str">
        <x:v>标准样本代码</x:v>
      </x:c>
      <x:c r="E13" s="16" t="str">
        <x:v>VARCHAR(32)</x:v>
      </x:c>
      <x:c r="F13" s="16" t="str">
        <x:v>唯一键</x:v>
      </x:c>
      <x:c r="G13" s="16" t="str">
        <x:v>否</x:v>
      </x:c>
      <x:c r="H13" s="16" t="str">
        <x:v>—</x:v>
      </x:c>
      <x:c r="I13" s="16" t="str">
        <x:v>不适用</x:v>
      </x:c>
      <x:c r="J13" s="16" t="str">
        <x:v>全库唯一</x:v>
      </x:c>
      <x:c r="K13" s="16" t="str">
        <x:v>—</x:v>
      </x:c>
      <x:c r="L13" s="16" t="str">
        <x:v>纯浆按材种和转数生成，复配按比例生成</x:v>
      </x:c>
    </x:row>
    <x:row r="14" ht="34" customHeight="1">
      <x:c r="A14" s="22" t="n">
        <x:v>10</x:v>
      </x:c>
      <x:c r="B14" s="16" t="str">
        <x:v>sample</x:v>
      </x:c>
      <x:c r="C14" s="16" t="str">
        <x:v>sample_type</x:v>
      </x:c>
      <x:c r="D14" s="16" t="str">
        <x:v>样本类型</x:v>
      </x:c>
      <x:c r="E14" s="16" t="str">
        <x:v>VARCHAR(16)</x:v>
      </x:c>
      <x:c r="F14" s="16" t="str">
        <x:v>—</x:v>
      </x:c>
      <x:c r="G14" s="16" t="str">
        <x:v>否</x:v>
      </x:c>
      <x:c r="H14" s="16" t="str">
        <x:v>—</x:v>
      </x:c>
      <x:c r="I14" s="16" t="str">
        <x:v>不适用</x:v>
      </x:c>
      <x:c r="J14" s="16" t="str">
        <x:v>softwood、hardwood或blend</x:v>
      </x:c>
      <x:c r="K14" s="16" t="str">
        <x:v>—</x:v>
      </x:c>
      <x:c r="L14" s="16" t="str">
        <x:v>样本类别</x:v>
      </x:c>
    </x:row>
    <x:row r="15" ht="34" customHeight="1">
      <x:c r="A15" s="22" t="n">
        <x:v>11</x:v>
      </x:c>
      <x:c r="B15" s="16" t="str">
        <x:v>sample</x:v>
      </x:c>
      <x:c r="C15" s="16" t="str">
        <x:v>display_name</x:v>
      </x:c>
      <x:c r="D15" s="16" t="str">
        <x:v>显示名称</x:v>
      </x:c>
      <x:c r="E15" s="16" t="str">
        <x:v>VARCHAR(100)</x:v>
      </x:c>
      <x:c r="F15" s="16" t="str">
        <x:v>—</x:v>
      </x:c>
      <x:c r="G15" s="16" t="str">
        <x:v>否</x:v>
      </x:c>
      <x:c r="H15" s="16" t="str">
        <x:v>—</x:v>
      </x:c>
      <x:c r="I15" s="16" t="str">
        <x:v>不适用</x:v>
      </x:c>
      <x:c r="J15" s="16" t="str">
        <x:v>非空</x:v>
      </x:c>
      <x:c r="K15" s="16" t="str">
        <x:v>—</x:v>
      </x:c>
      <x:c r="L15" s="16" t="str">
        <x:v>可视化平台中的中文名称</x:v>
      </x:c>
    </x:row>
    <x:row r="16" ht="34" customHeight="1">
      <x:c r="A16" s="22" t="n">
        <x:v>12</x:v>
      </x:c>
      <x:c r="B16" s="16" t="str">
        <x:v>sample</x:v>
      </x:c>
      <x:c r="C16" s="16" t="str">
        <x:v>notes</x:v>
      </x:c>
      <x:c r="D16" s="16" t="str">
        <x:v>备注</x:v>
      </x:c>
      <x:c r="E16" s="16" t="str">
        <x:v>TEXT</x:v>
      </x:c>
      <x:c r="F16" s="16" t="str">
        <x:v>—</x:v>
      </x:c>
      <x:c r="G16" s="16" t="str">
        <x:v>是</x:v>
      </x:c>
      <x:c r="H16" s="16" t="str">
        <x:v>—</x:v>
      </x:c>
      <x:c r="I16" s="16" t="str">
        <x:v>不适用</x:v>
      </x:c>
      <x:c r="J16" s="16" t="str">
        <x:v>—</x:v>
      </x:c>
      <x:c r="K16" s="16" t="str">
        <x:v>NULL</x:v>
      </x:c>
      <x:c r="L16" s="16" t="str">
        <x:v>保存必要说明，不存放测量值</x:v>
      </x:c>
    </x:row>
    <x:row r="17" ht="34" customHeight="1">
      <x:c r="A17" s="22" t="n">
        <x:v>13</x:v>
      </x:c>
      <x:c r="B17" s="16" t="str">
        <x:v>experiment_sample</x:v>
      </x:c>
      <x:c r="C17" s="16" t="str">
        <x:v>experiment_id</x:v>
      </x:c>
      <x:c r="D17" s="16" t="str">
        <x:v>实验编号</x:v>
      </x:c>
      <x:c r="E17" s="16" t="str">
        <x:v>BIGINT</x:v>
      </x:c>
      <x:c r="F17" s="16" t="str">
        <x:v>联合主键、外键</x:v>
      </x:c>
      <x:c r="G17" s="16" t="str">
        <x:v>否</x:v>
      </x:c>
      <x:c r="H17" s="16" t="str">
        <x:v>—</x:v>
      </x:c>
      <x:c r="I17" s="16" t="str">
        <x:v>不适用</x:v>
      </x:c>
      <x:c r="J17" s="16" t="str">
        <x:v>引用experiment</x:v>
      </x:c>
      <x:c r="K17" s="16" t="str">
        <x:v>—</x:v>
      </x:c>
      <x:c r="L17" s="16" t="str">
        <x:v>所属实验</x:v>
      </x:c>
    </x:row>
    <x:row r="18" ht="34" customHeight="1">
      <x:c r="A18" s="22" t="n">
        <x:v>14</x:v>
      </x:c>
      <x:c r="B18" s="16" t="str">
        <x:v>experiment_sample</x:v>
      </x:c>
      <x:c r="C18" s="16" t="str">
        <x:v>sample_id</x:v>
      </x:c>
      <x:c r="D18" s="16" t="str">
        <x:v>样本编号</x:v>
      </x:c>
      <x:c r="E18" s="16" t="str">
        <x:v>BIGINT</x:v>
      </x:c>
      <x:c r="F18" s="16" t="str">
        <x:v>联合主键、外键</x:v>
      </x:c>
      <x:c r="G18" s="16" t="str">
        <x:v>否</x:v>
      </x:c>
      <x:c r="H18" s="16" t="str">
        <x:v>—</x:v>
      </x:c>
      <x:c r="I18" s="16" t="str">
        <x:v>不适用</x:v>
      </x:c>
      <x:c r="J18" s="16" t="str">
        <x:v>引用sample</x:v>
      </x:c>
      <x:c r="K18" s="16" t="str">
        <x:v>—</x:v>
      </x:c>
      <x:c r="L18" s="16" t="str">
        <x:v>引用唯一样本</x:v>
      </x:c>
    </x:row>
    <x:row r="19" ht="34" customHeight="1">
      <x:c r="A19" s="22" t="n">
        <x:v>15</x:v>
      </x:c>
      <x:c r="B19" s="16" t="str">
        <x:v>experiment_sample</x:v>
      </x:c>
      <x:c r="C19" s="16" t="str">
        <x:v>display_code</x:v>
      </x:c>
      <x:c r="D19" s="16" t="str">
        <x:v>实验内编号</x:v>
      </x:c>
      <x:c r="E19" s="16" t="str">
        <x:v>VARCHAR(16)</x:v>
      </x:c>
      <x:c r="F19" s="16" t="str">
        <x:v>实验内唯一</x:v>
      </x:c>
      <x:c r="G19" s="16" t="str">
        <x:v>否</x:v>
      </x:c>
      <x:c r="H19" s="16" t="str">
        <x:v>—</x:v>
      </x:c>
      <x:c r="I19" s="16" t="str">
        <x:v>不适用</x:v>
      </x:c>
      <x:c r="J19" s="16" t="str">
        <x:v>同一实验内唯一</x:v>
      </x:c>
      <x:c r="K19" s="16" t="str">
        <x:v>—</x:v>
      </x:c>
      <x:c r="L19" s="16" t="str">
        <x:v>例如1、zk19、zk010</x:v>
      </x:c>
    </x:row>
    <x:row r="20" ht="34" customHeight="1">
      <x:c r="A20" s="22" t="n">
        <x:v>16</x:v>
      </x:c>
      <x:c r="B20" s="16" t="str">
        <x:v>experiment_sample</x:v>
      </x:c>
      <x:c r="C20" s="16" t="str">
        <x:v>display_order</x:v>
      </x:c>
      <x:c r="D20" s="16" t="str">
        <x:v>显示顺序</x:v>
      </x:c>
      <x:c r="E20" s="16" t="str">
        <x:v>INTEGER</x:v>
      </x:c>
      <x:c r="F20" s="16" t="str">
        <x:v>—</x:v>
      </x:c>
      <x:c r="G20" s="16" t="str">
        <x:v>否</x:v>
      </x:c>
      <x:c r="H20" s="16" t="str">
        <x:v>—</x:v>
      </x:c>
      <x:c r="I20" s="16" t="str">
        <x:v>不适用</x:v>
      </x:c>
      <x:c r="J20" s="16" t="str">
        <x:v>&gt; 0</x:v>
      </x:c>
      <x:c r="K20" s="16" t="str">
        <x:v>—</x:v>
      </x:c>
      <x:c r="L20" s="16" t="str">
        <x:v>图表排序依据</x:v>
      </x:c>
    </x:row>
    <x:row r="21" ht="34" customHeight="1">
      <x:c r="A21" s="22" t="n">
        <x:v>17</x:v>
      </x:c>
      <x:c r="B21" s="16" t="str">
        <x:v>experiment_sample</x:v>
      </x:c>
      <x:c r="C21" s="16" t="str">
        <x:v>source_id</x:v>
      </x:c>
      <x:c r="D21" s="16" t="str">
        <x:v>来源编号</x:v>
      </x:c>
      <x:c r="E21" s="16" t="str">
        <x:v>BIGINT</x:v>
      </x:c>
      <x:c r="F21" s="16" t="str">
        <x:v>外键</x:v>
      </x:c>
      <x:c r="G21" s="16" t="str">
        <x:v>否</x:v>
      </x:c>
      <x:c r="H21" s="16" t="str">
        <x:v>—</x:v>
      </x:c>
      <x:c r="I21" s="16" t="str">
        <x:v>不适用</x:v>
      </x:c>
      <x:c r="J21" s="16" t="str">
        <x:v>引用data_source</x:v>
      </x:c>
      <x:c r="K21" s="16" t="str">
        <x:v>—</x:v>
      </x:c>
      <x:c r="L21" s="16" t="str">
        <x:v>追溯创建该展示点的来源行</x:v>
      </x:c>
    </x:row>
    <x:row r="22" ht="34" customHeight="1">
      <x:c r="A22" s="22" t="n">
        <x:v>18</x:v>
      </x:c>
      <x:c r="B22" s="16" t="str">
        <x:v>sample_component</x:v>
      </x:c>
      <x:c r="C22" s="16" t="str">
        <x:v>sample_id</x:v>
      </x:c>
      <x:c r="D22" s="16" t="str">
        <x:v>样本编号</x:v>
      </x:c>
      <x:c r="E22" s="16" t="str">
        <x:v>BIGINT</x:v>
      </x:c>
      <x:c r="F22" s="16" t="str">
        <x:v>联合主键、外键</x:v>
      </x:c>
      <x:c r="G22" s="16" t="str">
        <x:v>否</x:v>
      </x:c>
      <x:c r="H22" s="16" t="str">
        <x:v>—</x:v>
      </x:c>
      <x:c r="I22" s="16" t="str">
        <x:v>不适用</x:v>
      </x:c>
      <x:c r="J22" s="16" t="str">
        <x:v>引用sample</x:v>
      </x:c>
      <x:c r="K22" s="16" t="str">
        <x:v>—</x:v>
      </x:c>
      <x:c r="L22" s="16" t="str">
        <x:v>所属样本</x:v>
      </x:c>
    </x:row>
    <x:row r="23" ht="34" customHeight="1">
      <x:c r="A23" s="22" t="n">
        <x:v>19</x:v>
      </x:c>
      <x:c r="B23" s="16" t="str">
        <x:v>sample_component</x:v>
      </x:c>
      <x:c r="C23" s="16" t="str">
        <x:v>material_id</x:v>
      </x:c>
      <x:c r="D23" s="16" t="str">
        <x:v>原料编号</x:v>
      </x:c>
      <x:c r="E23" s="16" t="str">
        <x:v>BIGINT</x:v>
      </x:c>
      <x:c r="F23" s="16" t="str">
        <x:v>联合主键、外键</x:v>
      </x:c>
      <x:c r="G23" s="16" t="str">
        <x:v>否</x:v>
      </x:c>
      <x:c r="H23" s="16" t="str">
        <x:v>—</x:v>
      </x:c>
      <x:c r="I23" s="16" t="str">
        <x:v>不适用</x:v>
      </x:c>
      <x:c r="J23" s="16" t="str">
        <x:v>引用material</x:v>
      </x:c>
      <x:c r="K23" s="16" t="str">
        <x:v>—</x:v>
      </x:c>
      <x:c r="L23" s="16" t="str">
        <x:v>组分原料</x:v>
      </x:c>
    </x:row>
    <x:row r="24" ht="34" customHeight="1">
      <x:c r="A24" s="22" t="n">
        <x:v>20</x:v>
      </x:c>
      <x:c r="B24" s="16" t="str">
        <x:v>sample_component</x:v>
      </x:c>
      <x:c r="C24" s="16" t="str">
        <x:v>proportion_pct</x:v>
      </x:c>
      <x:c r="D24" s="16" t="str">
        <x:v>组分比例</x:v>
      </x:c>
      <x:c r="E24" s="16" t="str">
        <x:v>NUMERIC(5,2)</x:v>
      </x:c>
      <x:c r="F24" s="16" t="str">
        <x:v>—</x:v>
      </x:c>
      <x:c r="G24" s="16" t="str">
        <x:v>否</x:v>
      </x:c>
      <x:c r="H24" s="16" t="str">
        <x:v>%</x:v>
      </x:c>
      <x:c r="I24" s="16" t="str">
        <x:v>已确认</x:v>
      </x:c>
      <x:c r="J24" s="16" t="str">
        <x:v>0至100；同一样本合计100</x:v>
      </x:c>
      <x:c r="K24" s="16" t="str">
        <x:v>—</x:v>
      </x:c>
      <x:c r="L24" s="16" t="str">
        <x:v>原料在样本中的质量比例</x:v>
      </x:c>
    </x:row>
    <x:row r="25" ht="34" customHeight="1">
      <x:c r="A25" s="22" t="n">
        <x:v>21</x:v>
      </x:c>
      <x:c r="B25" s="16" t="str">
        <x:v>sample_component</x:v>
      </x:c>
      <x:c r="C25" s="16" t="str">
        <x:v>beating_revolutions</x:v>
      </x:c>
      <x:c r="D25" s="16" t="str">
        <x:v>打浆转数</x:v>
      </x:c>
      <x:c r="E25" s="16" t="str">
        <x:v>INTEGER</x:v>
      </x:c>
      <x:c r="F25" s="16" t="str">
        <x:v>—</x:v>
      </x:c>
      <x:c r="G25" s="16" t="str">
        <x:v>否</x:v>
      </x:c>
      <x:c r="H25" s="16" t="str">
        <x:v>r</x:v>
      </x:c>
      <x:c r="I25" s="16" t="str">
        <x:v>已确认</x:v>
      </x:c>
      <x:c r="J25" s="16" t="str">
        <x:v>&gt;= 0</x:v>
      </x:c>
      <x:c r="K25" s="16" t="str">
        <x:v>—</x:v>
      </x:c>
      <x:c r="L25" s="16" t="str">
        <x:v>该组分的打浆转数</x:v>
      </x:c>
    </x:row>
    <x:row r="26" ht="34" customHeight="1">
      <x:c r="A26" s="22" t="n">
        <x:v>22</x:v>
      </x:c>
      <x:c r="B26" s="16" t="str">
        <x:v>sample_component</x:v>
      </x:c>
      <x:c r="C26" s="16" t="str">
        <x:v>beating_degree_sr</x:v>
      </x:c>
      <x:c r="D26" s="16" t="str">
        <x:v>打浆度</x:v>
      </x:c>
      <x:c r="E26" s="16" t="str">
        <x:v>NUMERIC(5,1)</x:v>
      </x:c>
      <x:c r="F26" s="16" t="str">
        <x:v>—</x:v>
      </x:c>
      <x:c r="G26" s="16" t="str">
        <x:v>否</x:v>
      </x:c>
      <x:c r="H26" s="16" t="str">
        <x:v>°SR</x:v>
      </x:c>
      <x:c r="I26" s="16" t="str">
        <x:v>已确认</x:v>
      </x:c>
      <x:c r="J26" s="16" t="str">
        <x:v>&gt;= 0</x:v>
      </x:c>
      <x:c r="K26" s="16" t="str">
        <x:v>—</x:v>
      </x:c>
      <x:c r="L26" s="16" t="str">
        <x:v>该组分的打浆度</x:v>
      </x:c>
    </x:row>
    <x:row r="27" ht="34" customHeight="1">
      <x:c r="A27" s="22" t="n">
        <x:v>23</x:v>
      </x:c>
      <x:c r="B27" s="16" t="str">
        <x:v>sample_component</x:v>
      </x:c>
      <x:c r="C27" s="16" t="str">
        <x:v>source_id</x:v>
      </x:c>
      <x:c r="D27" s="16" t="str">
        <x:v>来源编号</x:v>
      </x:c>
      <x:c r="E27" s="16" t="str">
        <x:v>BIGINT</x:v>
      </x:c>
      <x:c r="F27" s="16" t="str">
        <x:v>外键</x:v>
      </x:c>
      <x:c r="G27" s="16" t="str">
        <x:v>否</x:v>
      </x:c>
      <x:c r="H27" s="16" t="str">
        <x:v>—</x:v>
      </x:c>
      <x:c r="I27" s="16" t="str">
        <x:v>不适用</x:v>
      </x:c>
      <x:c r="J27" s="16" t="str">
        <x:v>引用data_source</x:v>
      </x:c>
      <x:c r="K27" s="16" t="str">
        <x:v>—</x:v>
      </x:c>
      <x:c r="L27" s="16" t="str">
        <x:v>追溯比例或打浆条件来源</x:v>
      </x:c>
    </x:row>
    <x:row r="28" ht="34" customHeight="1">
      <x:c r="A28" s="22" t="n">
        <x:v>24</x:v>
      </x:c>
      <x:c r="B28" s="16" t="str">
        <x:v>fiber_measurement</x:v>
      </x:c>
      <x:c r="C28" s="16" t="str">
        <x:v>sample_id</x:v>
      </x:c>
      <x:c r="D28" s="16" t="str">
        <x:v>样本编号</x:v>
      </x:c>
      <x:c r="E28" s="16" t="str">
        <x:v>BIGINT</x:v>
      </x:c>
      <x:c r="F28" s="16" t="str">
        <x:v>主键、外键</x:v>
      </x:c>
      <x:c r="G28" s="16" t="str">
        <x:v>否</x:v>
      </x:c>
      <x:c r="H28" s="16" t="str">
        <x:v>—</x:v>
      </x:c>
      <x:c r="I28" s="16" t="str">
        <x:v>不适用</x:v>
      </x:c>
      <x:c r="J28" s="16" t="str">
        <x:v>引用sample</x:v>
      </x:c>
      <x:c r="K28" s="16" t="str">
        <x:v>—</x:v>
      </x:c>
      <x:c r="L28" s="16" t="str">
        <x:v>每个样本最多一条纤维记录</x:v>
      </x:c>
    </x:row>
    <x:row r="29" ht="34" customHeight="1">
      <x:c r="A29" s="22" t="n">
        <x:v>25</x:v>
      </x:c>
      <x:c r="B29" s="16" t="str">
        <x:v>fiber_measurement</x:v>
      </x:c>
      <x:c r="C29" s="16" t="str">
        <x:v>fiber_length_arithmetic_mm</x:v>
      </x:c>
      <x:c r="D29" s="16" t="str">
        <x:v>算术平均纤维长度</x:v>
      </x:c>
      <x:c r="E29" s="16" t="str">
        <x:v>NUMERIC(10,4)</x:v>
      </x:c>
      <x:c r="F29" s="16" t="str">
        <x:v>—</x:v>
      </x:c>
      <x:c r="G29" s="16" t="str">
        <x:v>是</x:v>
      </x:c>
      <x:c r="H29" s="16" t="str">
        <x:v>mm</x:v>
      </x:c>
      <x:c r="I29" s="16" t="str">
        <x:v>已确认</x:v>
      </x:c>
      <x:c r="J29" s="16" t="str">
        <x:v>非负</x:v>
      </x:c>
      <x:c r="K29" s="16" t="str">
        <x:v>NULL</x:v>
      </x:c>
      <x:c r="L29" s="16" t="str">
        <x:v>保留源表原始精度；缺失值记为NULL</x:v>
      </x:c>
    </x:row>
    <x:row r="30" ht="34" customHeight="1">
      <x:c r="A30" s="22" t="n">
        <x:v>26</x:v>
      </x:c>
      <x:c r="B30" s="16" t="str">
        <x:v>fiber_measurement</x:v>
      </x:c>
      <x:c r="C30" s="16" t="str">
        <x:v>fiber_length_weighted_mm</x:v>
      </x:c>
      <x:c r="D30" s="16" t="str">
        <x:v>长度加权纤维长度</x:v>
      </x:c>
      <x:c r="E30" s="16" t="str">
        <x:v>NUMERIC(10,4)</x:v>
      </x:c>
      <x:c r="F30" s="16" t="str">
        <x:v>—</x:v>
      </x:c>
      <x:c r="G30" s="16" t="str">
        <x:v>是</x:v>
      </x:c>
      <x:c r="H30" s="16" t="str">
        <x:v>mm</x:v>
      </x:c>
      <x:c r="I30" s="16" t="str">
        <x:v>已确认</x:v>
      </x:c>
      <x:c r="J30" s="16" t="str">
        <x:v>非负</x:v>
      </x:c>
      <x:c r="K30" s="16" t="str">
        <x:v>NULL</x:v>
      </x:c>
      <x:c r="L30" s="16" t="str">
        <x:v>保留源表原始精度；缺失值记为NULL</x:v>
      </x:c>
    </x:row>
    <x:row r="31" ht="34" customHeight="1">
      <x:c r="A31" s="22" t="n">
        <x:v>27</x:v>
      </x:c>
      <x:c r="B31" s="16" t="str">
        <x:v>fiber_measurement</x:v>
      </x:c>
      <x:c r="C31" s="16" t="str">
        <x:v>fiber_width_um</x:v>
      </x:c>
      <x:c r="D31" s="16" t="str">
        <x:v>纤维宽度</x:v>
      </x:c>
      <x:c r="E31" s="16" t="str">
        <x:v>NUMERIC(10,3)</x:v>
      </x:c>
      <x:c r="F31" s="16" t="str">
        <x:v>—</x:v>
      </x:c>
      <x:c r="G31" s="16" t="str">
        <x:v>是</x:v>
      </x:c>
      <x:c r="H31" s="16" t="str">
        <x:v>μm</x:v>
      </x:c>
      <x:c r="I31" s="16" t="str">
        <x:v>已确认</x:v>
      </x:c>
      <x:c r="J31" s="16" t="str">
        <x:v>非负</x:v>
      </x:c>
      <x:c r="K31" s="16" t="str">
        <x:v>NULL</x:v>
      </x:c>
      <x:c r="L31" s="16" t="str">
        <x:v>保留源表原始精度；缺失值记为NULL</x:v>
      </x:c>
    </x:row>
    <x:row r="32" ht="34" customHeight="1">
      <x:c r="A32" s="22" t="n">
        <x:v>28</x:v>
      </x:c>
      <x:c r="B32" s="16" t="str">
        <x:v>fiber_measurement</x:v>
      </x:c>
      <x:c r="C32" s="16" t="str">
        <x:v>fiber_coarseness_mg_m</x:v>
      </x:c>
      <x:c r="D32" s="16" t="str">
        <x:v>纤维粗度</x:v>
      </x:c>
      <x:c r="E32" s="16" t="str">
        <x:v>NUMERIC(12,6)</x:v>
      </x:c>
      <x:c r="F32" s="16" t="str">
        <x:v>—</x:v>
      </x:c>
      <x:c r="G32" s="16" t="str">
        <x:v>是</x:v>
      </x:c>
      <x:c r="H32" s="16" t="str">
        <x:v>mg/m</x:v>
      </x:c>
      <x:c r="I32" s="16" t="str">
        <x:v>已确认</x:v>
      </x:c>
      <x:c r="J32" s="16" t="str">
        <x:v>非负</x:v>
      </x:c>
      <x:c r="K32" s="16" t="str">
        <x:v>NULL</x:v>
      </x:c>
      <x:c r="L32" s="16" t="str">
        <x:v>保留源表原始精度；缺失值记为NULL</x:v>
      </x:c>
    </x:row>
    <x:row r="33" ht="34" customHeight="1">
      <x:c r="A33" s="22" t="n">
        <x:v>29</x:v>
      </x:c>
      <x:c r="B33" s="16" t="str">
        <x:v>fiber_measurement</x:v>
      </x:c>
      <x:c r="C33" s="16" t="str">
        <x:v>kink_angle_deg</x:v>
      </x:c>
      <x:c r="D33" s="16" t="str">
        <x:v>扭结角</x:v>
      </x:c>
      <x:c r="E33" s="16" t="str">
        <x:v>NUMERIC(8,2)</x:v>
      </x:c>
      <x:c r="F33" s="16" t="str">
        <x:v>—</x:v>
      </x:c>
      <x:c r="G33" s="16" t="str">
        <x:v>是</x:v>
      </x:c>
      <x:c r="H33" s="16" t="str">
        <x:v>°</x:v>
      </x:c>
      <x:c r="I33" s="16" t="str">
        <x:v>已确认</x:v>
      </x:c>
      <x:c r="J33" s="16" t="str">
        <x:v>0至180</x:v>
      </x:c>
      <x:c r="K33" s="16" t="str">
        <x:v>NULL</x:v>
      </x:c>
      <x:c r="L33" s="16" t="str">
        <x:v>保留源表原始精度；缺失值记为NULL</x:v>
      </x:c>
    </x:row>
    <x:row r="34" ht="34" customHeight="1">
      <x:c r="A34" s="22" t="n">
        <x:v>30</x:v>
      </x:c>
      <x:c r="B34" s="16" t="str">
        <x:v>fiber_measurement</x:v>
      </x:c>
      <x:c r="C34" s="16" t="str">
        <x:v>kinked_fiber_pct</x:v>
      </x:c>
      <x:c r="D34" s="16" t="str">
        <x:v>扭结纤维占比</x:v>
      </x:c>
      <x:c r="E34" s="16" t="str">
        <x:v>NUMERIC(8,3)</x:v>
      </x:c>
      <x:c r="F34" s="16" t="str">
        <x:v>—</x:v>
      </x:c>
      <x:c r="G34" s="16" t="str">
        <x:v>是</x:v>
      </x:c>
      <x:c r="H34" s="16" t="str">
        <x:v>%</x:v>
      </x:c>
      <x:c r="I34" s="16" t="str">
        <x:v>已确认</x:v>
      </x:c>
      <x:c r="J34" s="16" t="str">
        <x:v>0至100</x:v>
      </x:c>
      <x:c r="K34" s="16" t="str">
        <x:v>NULL</x:v>
      </x:c>
      <x:c r="L34" s="16" t="str">
        <x:v>保留源表原始精度；缺失值记为NULL</x:v>
      </x:c>
    </x:row>
    <x:row r="35" ht="34" customHeight="1">
      <x:c r="A35" s="22" t="n">
        <x:v>31</x:v>
      </x:c>
      <x:c r="B35" s="16" t="str">
        <x:v>fiber_measurement</x:v>
      </x:c>
      <x:c r="C35" s="16" t="str">
        <x:v>curved_fiber_pct</x:v>
      </x:c>
      <x:c r="D35" s="16" t="str">
        <x:v>弯曲纤维占比</x:v>
      </x:c>
      <x:c r="E35" s="16" t="str">
        <x:v>NUMERIC(8,3)</x:v>
      </x:c>
      <x:c r="F35" s="16" t="str">
        <x:v>—</x:v>
      </x:c>
      <x:c r="G35" s="16" t="str">
        <x:v>是</x:v>
      </x:c>
      <x:c r="H35" s="16" t="str">
        <x:v>%</x:v>
      </x:c>
      <x:c r="I35" s="16" t="str">
        <x:v>已确认</x:v>
      </x:c>
      <x:c r="J35" s="16" t="str">
        <x:v>0至100</x:v>
      </x:c>
      <x:c r="K35" s="16" t="str">
        <x:v>NULL</x:v>
      </x:c>
      <x:c r="L35" s="16" t="str">
        <x:v>保留源表原始精度；缺失值记为NULL</x:v>
      </x:c>
    </x:row>
    <x:row r="36" ht="34" customHeight="1">
      <x:c r="A36" s="22" t="n">
        <x:v>32</x:v>
      </x:c>
      <x:c r="B36" s="16" t="str">
        <x:v>fiber_measurement</x:v>
      </x:c>
      <x:c r="C36" s="16" t="str">
        <x:v>fibrillation_length_pct</x:v>
      </x:c>
      <x:c r="D36" s="16" t="str">
        <x:v>分丝帚化长度比</x:v>
      </x:c>
      <x:c r="E36" s="16" t="str">
        <x:v>NUMERIC(8,3)</x:v>
      </x:c>
      <x:c r="F36" s="16" t="str">
        <x:v>—</x:v>
      </x:c>
      <x:c r="G36" s="16" t="str">
        <x:v>是</x:v>
      </x:c>
      <x:c r="H36" s="16" t="str">
        <x:v>%</x:v>
      </x:c>
      <x:c r="I36" s="16" t="str">
        <x:v>已确认</x:v>
      </x:c>
      <x:c r="J36" s="16" t="str">
        <x:v>0至100</x:v>
      </x:c>
      <x:c r="K36" s="16" t="str">
        <x:v>NULL</x:v>
      </x:c>
      <x:c r="L36" s="16" t="str">
        <x:v>保留源表原始精度；缺失值记为NULL</x:v>
      </x:c>
    </x:row>
    <x:row r="37" ht="34" customHeight="1">
      <x:c r="A37" s="22" t="n">
        <x:v>33</x:v>
      </x:c>
      <x:c r="B37" s="16" t="str">
        <x:v>fiber_measurement</x:v>
      </x:c>
      <x:c r="C37" s="16" t="str">
        <x:v>broken_fiber_pct</x:v>
      </x:c>
      <x:c r="D37" s="16" t="str">
        <x:v>折断纤维比</x:v>
      </x:c>
      <x:c r="E37" s="16" t="str">
        <x:v>NUMERIC(8,3)</x:v>
      </x:c>
      <x:c r="F37" s="16" t="str">
        <x:v>—</x:v>
      </x:c>
      <x:c r="G37" s="16" t="str">
        <x:v>是</x:v>
      </x:c>
      <x:c r="H37" s="16" t="str">
        <x:v>%</x:v>
      </x:c>
      <x:c r="I37" s="16" t="str">
        <x:v>已确认</x:v>
      </x:c>
      <x:c r="J37" s="16" t="str">
        <x:v>0至100</x:v>
      </x:c>
      <x:c r="K37" s="16" t="str">
        <x:v>NULL</x:v>
      </x:c>
      <x:c r="L37" s="16" t="str">
        <x:v>保留源表原始精度；缺失值记为NULL</x:v>
      </x:c>
    </x:row>
    <x:row r="38" ht="34" customHeight="1">
      <x:c r="A38" s="22" t="n">
        <x:v>34</x:v>
      </x:c>
      <x:c r="B38" s="16" t="str">
        <x:v>fiber_measurement</x:v>
      </x:c>
      <x:c r="C38" s="16" t="str">
        <x:v>fines_length_pct</x:v>
      </x:c>
      <x:c r="D38" s="16" t="str">
        <x:v>细小纤维长度比</x:v>
      </x:c>
      <x:c r="E38" s="16" t="str">
        <x:v>NUMERIC(8,3)</x:v>
      </x:c>
      <x:c r="F38" s="16" t="str">
        <x:v>—</x:v>
      </x:c>
      <x:c r="G38" s="16" t="str">
        <x:v>是</x:v>
      </x:c>
      <x:c r="H38" s="16" t="str">
        <x:v>%</x:v>
      </x:c>
      <x:c r="I38" s="16" t="str">
        <x:v>已确认</x:v>
      </x:c>
      <x:c r="J38" s="16" t="str">
        <x:v>0至100</x:v>
      </x:c>
      <x:c r="K38" s="16" t="str">
        <x:v>NULL</x:v>
      </x:c>
      <x:c r="L38" s="16" t="str">
        <x:v>保留源表原始精度；缺失值记为NULL</x:v>
      </x:c>
    </x:row>
    <x:row r="39" ht="34" customHeight="1">
      <x:c r="A39" s="22" t="n">
        <x:v>35</x:v>
      </x:c>
      <x:c r="B39" s="16" t="str">
        <x:v>fiber_measurement</x:v>
      </x:c>
      <x:c r="C39" s="16" t="str">
        <x:v>fines_weighted_length_pct</x:v>
      </x:c>
      <x:c r="D39" s="16" t="str">
        <x:v>细小纤维长度加权比</x:v>
      </x:c>
      <x:c r="E39" s="16" t="str">
        <x:v>NUMERIC(8,3)</x:v>
      </x:c>
      <x:c r="F39" s="16" t="str">
        <x:v>—</x:v>
      </x:c>
      <x:c r="G39" s="16" t="str">
        <x:v>是</x:v>
      </x:c>
      <x:c r="H39" s="16" t="str">
        <x:v>%</x:v>
      </x:c>
      <x:c r="I39" s="16" t="str">
        <x:v>已确认</x:v>
      </x:c>
      <x:c r="J39" s="16" t="str">
        <x:v>0至100</x:v>
      </x:c>
      <x:c r="K39" s="16" t="str">
        <x:v>NULL</x:v>
      </x:c>
      <x:c r="L39" s="16" t="str">
        <x:v>保留源表原始精度；缺失值记为NULL</x:v>
      </x:c>
    </x:row>
    <x:row r="40" ht="34" customHeight="1">
      <x:c r="A40" s="22" t="n">
        <x:v>36</x:v>
      </x:c>
      <x:c r="B40" s="16" t="str">
        <x:v>fiber_measurement</x:v>
      </x:c>
      <x:c r="C40" s="16" t="str">
        <x:v>fines_area_pct</x:v>
      </x:c>
      <x:c r="D40" s="16" t="str">
        <x:v>细小纤维面积比</x:v>
      </x:c>
      <x:c r="E40" s="16" t="str">
        <x:v>NUMERIC(8,3)</x:v>
      </x:c>
      <x:c r="F40" s="16" t="str">
        <x:v>—</x:v>
      </x:c>
      <x:c r="G40" s="16" t="str">
        <x:v>是</x:v>
      </x:c>
      <x:c r="H40" s="16" t="str">
        <x:v>%</x:v>
      </x:c>
      <x:c r="I40" s="16" t="str">
        <x:v>已确认</x:v>
      </x:c>
      <x:c r="J40" s="16" t="str">
        <x:v>0至100</x:v>
      </x:c>
      <x:c r="K40" s="16" t="str">
        <x:v>NULL</x:v>
      </x:c>
      <x:c r="L40" s="16" t="str">
        <x:v>保留源表原始精度；缺失值记为NULL</x:v>
      </x:c>
    </x:row>
    <x:row r="41" ht="34" customHeight="1">
      <x:c r="A41" s="22" t="n">
        <x:v>37</x:v>
      </x:c>
      <x:c r="B41" s="16" t="str">
        <x:v>fiber_measurement</x:v>
      </x:c>
      <x:c r="C41" s="16" t="str">
        <x:v>source_id</x:v>
      </x:c>
      <x:c r="D41" s="16" t="str">
        <x:v>来源编号</x:v>
      </x:c>
      <x:c r="E41" s="16" t="str">
        <x:v>BIGINT</x:v>
      </x:c>
      <x:c r="F41" s="16" t="str">
        <x:v>外键</x:v>
      </x:c>
      <x:c r="G41" s="16" t="str">
        <x:v>否</x:v>
      </x:c>
      <x:c r="H41" s="16" t="str">
        <x:v>—</x:v>
      </x:c>
      <x:c r="I41" s="16" t="str">
        <x:v>不适用</x:v>
      </x:c>
      <x:c r="J41" s="16" t="str">
        <x:v>引用data_source</x:v>
      </x:c>
      <x:c r="K41" s="16" t="str">
        <x:v>—</x:v>
      </x:c>
      <x:c r="L41" s="16" t="str">
        <x:v>追溯纤维特性来源行</x:v>
      </x:c>
    </x:row>
    <x:row r="42" ht="34" customHeight="1">
      <x:c r="A42" s="22" t="n">
        <x:v>38</x:v>
      </x:c>
      <x:c r="B42" s="16" t="str">
        <x:v>paper_measurement</x:v>
      </x:c>
      <x:c r="C42" s="16" t="str">
        <x:v>sample_id</x:v>
      </x:c>
      <x:c r="D42" s="16" t="str">
        <x:v>样本编号</x:v>
      </x:c>
      <x:c r="E42" s="16" t="str">
        <x:v>BIGINT</x:v>
      </x:c>
      <x:c r="F42" s="16" t="str">
        <x:v>主键、外键</x:v>
      </x:c>
      <x:c r="G42" s="16" t="str">
        <x:v>否</x:v>
      </x:c>
      <x:c r="H42" s="16" t="str">
        <x:v>—</x:v>
      </x:c>
      <x:c r="I42" s="16" t="str">
        <x:v>不适用</x:v>
      </x:c>
      <x:c r="J42" s="16" t="str">
        <x:v>引用sample</x:v>
      </x:c>
      <x:c r="K42" s="16" t="str">
        <x:v>—</x:v>
      </x:c>
      <x:c r="L42" s="16" t="str">
        <x:v>每个样本最多一条纸张记录</x:v>
      </x:c>
    </x:row>
    <x:row r="43" ht="34" customHeight="1">
      <x:c r="A43" s="22" t="n">
        <x:v>39</x:v>
      </x:c>
      <x:c r="B43" s="16" t="str">
        <x:v>paper_measurement</x:v>
      </x:c>
      <x:c r="C43" s="16" t="str">
        <x:v>basis_weight_g_m2</x:v>
      </x:c>
      <x:c r="D43" s="16" t="str">
        <x:v>定量</x:v>
      </x:c>
      <x:c r="E43" s="16" t="str">
        <x:v>NUMERIC(10,3)</x:v>
      </x:c>
      <x:c r="F43" s="16" t="str">
        <x:v>—</x:v>
      </x:c>
      <x:c r="G43" s="16" t="str">
        <x:v>是</x:v>
      </x:c>
      <x:c r="H43" s="16" t="str">
        <x:v>g/m²</x:v>
      </x:c>
      <x:c r="I43" s="16" t="str">
        <x:v>已确认</x:v>
      </x:c>
      <x:c r="J43" s="16" t="str">
        <x:v>非负</x:v>
      </x:c>
      <x:c r="K43" s="16" t="str">
        <x:v>NULL</x:v>
      </x:c>
      <x:c r="L43" s="16" t="str">
        <x:v>保存最终均值；不提前筛选变量</x:v>
      </x:c>
    </x:row>
    <x:row r="44" ht="34" customHeight="1">
      <x:c r="A44" s="22" t="n">
        <x:v>40</x:v>
      </x:c>
      <x:c r="B44" s="16" t="str">
        <x:v>paper_measurement</x:v>
      </x:c>
      <x:c r="C44" s="16" t="str">
        <x:v>thickness_um</x:v>
      </x:c>
      <x:c r="D44" s="16" t="str">
        <x:v>厚度</x:v>
      </x:c>
      <x:c r="E44" s="16" t="str">
        <x:v>NUMERIC(10,3)</x:v>
      </x:c>
      <x:c r="F44" s="16" t="str">
        <x:v>—</x:v>
      </x:c>
      <x:c r="G44" s="16" t="str">
        <x:v>是</x:v>
      </x:c>
      <x:c r="H44" s="16" t="str">
        <x:v>μm</x:v>
      </x:c>
      <x:c r="I44" s="16" t="str">
        <x:v>已确认</x:v>
      </x:c>
      <x:c r="J44" s="16" t="str">
        <x:v>非负</x:v>
      </x:c>
      <x:c r="K44" s="16" t="str">
        <x:v>NULL</x:v>
      </x:c>
      <x:c r="L44" s="16" t="str">
        <x:v>保存最终均值；不提前筛选变量</x:v>
      </x:c>
    </x:row>
    <x:row r="45" ht="34" customHeight="1">
      <x:c r="A45" s="22" t="n">
        <x:v>41</x:v>
      </x:c>
      <x:c r="B45" s="16" t="str">
        <x:v>paper_measurement</x:v>
      </x:c>
      <x:c r="C45" s="16" t="str">
        <x:v>burst_index</x:v>
      </x:c>
      <x:c r="D45" s="16" t="str">
        <x:v>耐破指数</x:v>
      </x:c>
      <x:c r="E45" s="16" t="str">
        <x:v>NUMERIC(12,4)</x:v>
      </x:c>
      <x:c r="F45" s="16" t="str">
        <x:v>—</x:v>
      </x:c>
      <x:c r="G45" s="16" t="str">
        <x:v>是</x:v>
      </x:c>
      <x:c r="H45" s="16" t="str">
        <x:v>kPa·m²/g</x:v>
      </x:c>
      <x:c r="I45" s="16" t="str">
        <x:v>已确认</x:v>
      </x:c>
      <x:c r="J45" s="16" t="str">
        <x:v>非负</x:v>
      </x:c>
      <x:c r="K45" s="16" t="str">
        <x:v>NULL</x:v>
      </x:c>
      <x:c r="L45" s="16" t="str">
        <x:v>保存最终均值；不提前筛选变量</x:v>
      </x:c>
    </x:row>
    <x:row r="46" ht="34" customHeight="1">
      <x:c r="A46" s="22" t="n">
        <x:v>42</x:v>
      </x:c>
      <x:c r="B46" s="16" t="str">
        <x:v>paper_measurement</x:v>
      </x:c>
      <x:c r="C46" s="16" t="str">
        <x:v>tear_index</x:v>
      </x:c>
      <x:c r="D46" s="16" t="str">
        <x:v>撕裂指数</x:v>
      </x:c>
      <x:c r="E46" s="16" t="str">
        <x:v>NUMERIC(12,4)</x:v>
      </x:c>
      <x:c r="F46" s="16" t="str">
        <x:v>—</x:v>
      </x:c>
      <x:c r="G46" s="16" t="str">
        <x:v>是</x:v>
      </x:c>
      <x:c r="H46" s="16" t="str">
        <x:v>mN·m²/g</x:v>
      </x:c>
      <x:c r="I46" s="16" t="str">
        <x:v>已确认</x:v>
      </x:c>
      <x:c r="J46" s="16" t="str">
        <x:v>非负</x:v>
      </x:c>
      <x:c r="K46" s="16" t="str">
        <x:v>NULL</x:v>
      </x:c>
      <x:c r="L46" s="16" t="str">
        <x:v>保存最终均值；不提前筛选变量</x:v>
      </x:c>
    </x:row>
    <x:row r="47" ht="34" customHeight="1">
      <x:c r="A47" s="22" t="n">
        <x:v>43</x:v>
      </x:c>
      <x:c r="B47" s="16" t="str">
        <x:v>paper_measurement</x:v>
      </x:c>
      <x:c r="C47" s="16" t="str">
        <x:v>tensile_index</x:v>
      </x:c>
      <x:c r="D47" s="16" t="str">
        <x:v>抗张指数</x:v>
      </x:c>
      <x:c r="E47" s="16" t="str">
        <x:v>NUMERIC(12,4)</x:v>
      </x:c>
      <x:c r="F47" s="16" t="str">
        <x:v>—</x:v>
      </x:c>
      <x:c r="G47" s="16" t="str">
        <x:v>是</x:v>
      </x:c>
      <x:c r="H47" s="16" t="str">
        <x:v>N·m/g</x:v>
      </x:c>
      <x:c r="I47" s="16" t="str">
        <x:v>已确认</x:v>
      </x:c>
      <x:c r="J47" s="16" t="str">
        <x:v>非负</x:v>
      </x:c>
      <x:c r="K47" s="16" t="str">
        <x:v>NULL</x:v>
      </x:c>
      <x:c r="L47" s="16" t="str">
        <x:v>保存最终均值；不提前筛选变量</x:v>
      </x:c>
    </x:row>
    <x:row r="48" ht="34" customHeight="1">
      <x:c r="A48" s="22" t="n">
        <x:v>44</x:v>
      </x:c>
      <x:c r="B48" s="16" t="str">
        <x:v>paper_measurement</x:v>
      </x:c>
      <x:c r="C48" s="16" t="str">
        <x:v>zero_span_tensile</x:v>
      </x:c>
      <x:c r="D48" s="16" t="str">
        <x:v>零距抗张强度</x:v>
      </x:c>
      <x:c r="E48" s="16" t="str">
        <x:v>NUMERIC(12,4)</x:v>
      </x:c>
      <x:c r="F48" s="16" t="str">
        <x:v>—</x:v>
      </x:c>
      <x:c r="G48" s="16" t="str">
        <x:v>是</x:v>
      </x:c>
      <x:c r="H48" s="16" t="str">
        <x:v>N/cm</x:v>
      </x:c>
      <x:c r="I48" s="16" t="str">
        <x:v>已确认</x:v>
      </x:c>
      <x:c r="J48" s="16" t="str">
        <x:v>非负</x:v>
      </x:c>
      <x:c r="K48" s="16" t="str">
        <x:v>NULL</x:v>
      </x:c>
      <x:c r="L48" s="16" t="str">
        <x:v>保存最终均值；不提前筛选变量</x:v>
      </x:c>
    </x:row>
    <x:row r="49" ht="34" customHeight="1">
      <x:c r="A49" s="22" t="n">
        <x:v>45</x:v>
      </x:c>
      <x:c r="B49" s="16" t="str">
        <x:v>paper_measurement</x:v>
      </x:c>
      <x:c r="C49" s="16" t="str">
        <x:v>surface_roughness</x:v>
      </x:c>
      <x:c r="D49" s="16" t="str">
        <x:v>表面粗糙度</x:v>
      </x:c>
      <x:c r="E49" s="16" t="str">
        <x:v>NUMERIC(12,4)</x:v>
      </x:c>
      <x:c r="F49" s="16" t="str">
        <x:v>—</x:v>
      </x:c>
      <x:c r="G49" s="16" t="str">
        <x:v>是</x:v>
      </x:c>
      <x:c r="H49" s="16" t="str">
        <x:v>ml/min</x:v>
      </x:c>
      <x:c r="I49" s="16" t="str">
        <x:v>已确认</x:v>
      </x:c>
      <x:c r="J49" s="16" t="str">
        <x:v>非负</x:v>
      </x:c>
      <x:c r="K49" s="16" t="str">
        <x:v>NULL</x:v>
      </x:c>
      <x:c r="L49" s="16" t="str">
        <x:v>保存最终均值；不提前筛选变量</x:v>
      </x:c>
    </x:row>
    <x:row r="50" ht="34" customHeight="1">
      <x:c r="A50" s="22" t="n">
        <x:v>46</x:v>
      </x:c>
      <x:c r="B50" s="16" t="str">
        <x:v>paper_measurement</x:v>
      </x:c>
      <x:c r="C50" s="16" t="str">
        <x:v>air_permeability</x:v>
      </x:c>
      <x:c r="D50" s="16" t="str">
        <x:v>透气度</x:v>
      </x:c>
      <x:c r="E50" s="16" t="str">
        <x:v>NUMERIC(12,4)</x:v>
      </x:c>
      <x:c r="F50" s="16" t="str">
        <x:v>—</x:v>
      </x:c>
      <x:c r="G50" s="16" t="str">
        <x:v>是</x:v>
      </x:c>
      <x:c r="H50" s="16" t="str">
        <x:v>μm/(Pa·s)</x:v>
      </x:c>
      <x:c r="I50" s="16" t="str">
        <x:v>设计暂定</x:v>
      </x:c>
      <x:c r="J50" s="16" t="str">
        <x:v>非负</x:v>
      </x:c>
      <x:c r="K50" s="16" t="str">
        <x:v>NULL</x:v>
      </x:c>
      <x:c r="L50" s="16" t="str">
        <x:v>保存最终均值；不提前筛选变量</x:v>
      </x:c>
    </x:row>
    <x:row r="51" ht="34" customHeight="1">
      <x:c r="A51" s="22" t="n">
        <x:v>47</x:v>
      </x:c>
      <x:c r="B51" s="16" t="str">
        <x:v>paper_measurement</x:v>
      </x:c>
      <x:c r="C51" s="16" t="str">
        <x:v>folding_endurance_raw</x:v>
      </x:c>
      <x:c r="D51" s="16" t="str">
        <x:v>耐折度原始值</x:v>
      </x:c>
      <x:c r="E51" s="16" t="str">
        <x:v>NUMERIC(12,4)</x:v>
      </x:c>
      <x:c r="F51" s="16" t="str">
        <x:v>—</x:v>
      </x:c>
      <x:c r="G51" s="16" t="str">
        <x:v>是</x:v>
      </x:c>
      <x:c r="H51" s="16" t="str">
        <x:v>待确认</x:v>
      </x:c>
      <x:c r="I51" s="16" t="str">
        <x:v>待确认</x:v>
      </x:c>
      <x:c r="J51" s="16" t="str">
        <x:v>非负</x:v>
      </x:c>
      <x:c r="K51" s="16" t="str">
        <x:v>NULL</x:v>
      </x:c>
      <x:c r="L51" s="16" t="str">
        <x:v>保存最终均值；不提前筛选变量</x:v>
      </x:c>
    </x:row>
    <x:row r="52" ht="34" customHeight="1">
      <x:c r="A52" s="22" t="n">
        <x:v>48</x:v>
      </x:c>
      <x:c r="B52" s="16" t="str">
        <x:v>paper_measurement</x:v>
      </x:c>
      <x:c r="C52" s="16" t="str">
        <x:v>replicate_count</x:v>
      </x:c>
      <x:c r="D52" s="16" t="str">
        <x:v>平行测量次数</x:v>
      </x:c>
      <x:c r="E52" s="16" t="str">
        <x:v>SMALLINT</x:v>
      </x:c>
      <x:c r="F52" s="16" t="str">
        <x:v>—</x:v>
      </x:c>
      <x:c r="G52" s="16" t="str">
        <x:v>否</x:v>
      </x:c>
      <x:c r="H52" s="16" t="str">
        <x:v>次</x:v>
      </x:c>
      <x:c r="I52" s="16" t="str">
        <x:v>已确认</x:v>
      </x:c>
      <x:c r="J52" s="16" t="str">
        <x:v>固定为3</x:v>
      </x:c>
      <x:c r="K52" s="16" t="str">
        <x:v>3</x:v>
      </x:c>
      <x:c r="L52" s="16" t="str">
        <x:v>记录最终均值对应的测量次数</x:v>
      </x:c>
    </x:row>
    <x:row r="53" ht="34" customHeight="1">
      <x:c r="A53" s="22" t="n">
        <x:v>49</x:v>
      </x:c>
      <x:c r="B53" s="16" t="str">
        <x:v>paper_measurement</x:v>
      </x:c>
      <x:c r="C53" s="16" t="str">
        <x:v>aggregation_method</x:v>
      </x:c>
      <x:c r="D53" s="16" t="str">
        <x:v>聚合方法</x:v>
      </x:c>
      <x:c r="E53" s="16" t="str">
        <x:v>VARCHAR(64)</x:v>
      </x:c>
      <x:c r="F53" s="16" t="str">
        <x:v>—</x:v>
      </x:c>
      <x:c r="G53" s="16" t="str">
        <x:v>否</x:v>
      </x:c>
      <x:c r="H53" s="16" t="str">
        <x:v>—</x:v>
      </x:c>
      <x:c r="I53" s="16" t="str">
        <x:v>不适用</x:v>
      </x:c>
      <x:c r="J53" s="16" t="str">
        <x:v>非空</x:v>
      </x:c>
      <x:c r="K53" s="16" t="str">
        <x:v>剔除偏差值后取最终均值</x:v>
      </x:c>
      <x:c r="L53" s="16" t="str">
        <x:v>记录最终值的形成方式</x:v>
      </x:c>
    </x:row>
    <x:row r="54" ht="34" customHeight="1">
      <x:c r="A54" s="22" t="n">
        <x:v>50</x:v>
      </x:c>
      <x:c r="B54" s="16" t="str">
        <x:v>paper_measurement</x:v>
      </x:c>
      <x:c r="C54" s="16" t="str">
        <x:v>source_id</x:v>
      </x:c>
      <x:c r="D54" s="16" t="str">
        <x:v>来源编号</x:v>
      </x:c>
      <x:c r="E54" s="16" t="str">
        <x:v>BIGINT</x:v>
      </x:c>
      <x:c r="F54" s="16" t="str">
        <x:v>外键</x:v>
      </x:c>
      <x:c r="G54" s="16" t="str">
        <x:v>否</x:v>
      </x:c>
      <x:c r="H54" s="16" t="str">
        <x:v>—</x:v>
      </x:c>
      <x:c r="I54" s="16" t="str">
        <x:v>不适用</x:v>
      </x:c>
      <x:c r="J54" s="16" t="str">
        <x:v>引用data_source</x:v>
      </x:c>
      <x:c r="K54" s="16" t="str">
        <x:v>—</x:v>
      </x:c>
      <x:c r="L54" s="16" t="str">
        <x:v>追溯纸张性能来源行</x:v>
      </x:c>
    </x:row>
    <x:row r="55" ht="34" customHeight="1">
      <x:c r="A55" s="22" t="n">
        <x:v>51</x:v>
      </x:c>
      <x:c r="B55" s="16" t="str">
        <x:v>data_source</x:v>
      </x:c>
      <x:c r="C55" s="16" t="str">
        <x:v>source_id</x:v>
      </x:c>
      <x:c r="D55" s="16" t="str">
        <x:v>来源编号</x:v>
      </x:c>
      <x:c r="E55" s="16" t="str">
        <x:v>BIGINT</x:v>
      </x:c>
      <x:c r="F55" s="16" t="str">
        <x:v>主键</x:v>
      </x:c>
      <x:c r="G55" s="16" t="str">
        <x:v>否</x:v>
      </x:c>
      <x:c r="H55" s="16" t="str">
        <x:v>—</x:v>
      </x:c>
      <x:c r="I55" s="16" t="str">
        <x:v>不适用</x:v>
      </x:c>
      <x:c r="J55" s="16" t="str">
        <x:v>&gt; 0</x:v>
      </x:c>
      <x:c r="K55" s="16" t="str">
        <x:v>IDENTITY</x:v>
      </x:c>
      <x:c r="L55" s="16" t="str">
        <x:v>每个正式来源数据行的内部编号</x:v>
      </x:c>
    </x:row>
    <x:row r="56" ht="34" customHeight="1">
      <x:c r="A56" s="22" t="n">
        <x:v>52</x:v>
      </x:c>
      <x:c r="B56" s="16" t="str">
        <x:v>data_source</x:v>
      </x:c>
      <x:c r="C56" s="16" t="str">
        <x:v>file_name</x:v>
      </x:c>
      <x:c r="D56" s="16" t="str">
        <x:v>来源文件名</x:v>
      </x:c>
      <x:c r="E56" s="16" t="str">
        <x:v>VARCHAR(255)</x:v>
      </x:c>
      <x:c r="F56" s="16" t="str">
        <x:v>—</x:v>
      </x:c>
      <x:c r="G56" s="16" t="str">
        <x:v>否</x:v>
      </x:c>
      <x:c r="H56" s="16" t="str">
        <x:v>—</x:v>
      </x:c>
      <x:c r="I56" s="16" t="str">
        <x:v>不适用</x:v>
      </x:c>
      <x:c r="J56" s="16" t="str">
        <x:v>必须属于8份正式文件</x:v>
      </x:c>
      <x:c r="K56" s="16" t="str">
        <x:v>—</x:v>
      </x:c>
      <x:c r="L56" s="16" t="str">
        <x:v>保留完整原始文件名</x:v>
      </x:c>
    </x:row>
    <x:row r="57" ht="34" customHeight="1">
      <x:c r="A57" s="22" t="n">
        <x:v>53</x:v>
      </x:c>
      <x:c r="B57" s="16" t="str">
        <x:v>data_source</x:v>
      </x:c>
      <x:c r="C57" s="16" t="str">
        <x:v>sheet_name</x:v>
      </x:c>
      <x:c r="D57" s="16" t="str">
        <x:v>来源工作表</x:v>
      </x:c>
      <x:c r="E57" s="16" t="str">
        <x:v>VARCHAR(128)</x:v>
      </x:c>
      <x:c r="F57" s="16" t="str">
        <x:v>—</x:v>
      </x:c>
      <x:c r="G57" s="16" t="str">
        <x:v>否</x:v>
      </x:c>
      <x:c r="H57" s="16" t="str">
        <x:v>—</x:v>
      </x:c>
      <x:c r="I57" s="16" t="str">
        <x:v>不适用</x:v>
      </x:c>
      <x:c r="J57" s="16" t="str">
        <x:v>当前仅Sheet1</x:v>
      </x:c>
      <x:c r="K57" s="16" t="str">
        <x:v>—</x:v>
      </x:c>
      <x:c r="L57" s="16" t="str">
        <x:v>有效工作表名称</x:v>
      </x:c>
    </x:row>
    <x:row r="58" ht="34" customHeight="1">
      <x:c r="A58" s="22" t="n">
        <x:v>54</x:v>
      </x:c>
      <x:c r="B58" s="16" t="str">
        <x:v>data_source</x:v>
      </x:c>
      <x:c r="C58" s="16" t="str">
        <x:v>source_row</x:v>
      </x:c>
      <x:c r="D58" s="16" t="str">
        <x:v>原始行号</x:v>
      </x:c>
      <x:c r="E58" s="16" t="str">
        <x:v>INTEGER</x:v>
      </x:c>
      <x:c r="F58" s="16" t="str">
        <x:v>—</x:v>
      </x:c>
      <x:c r="G58" s="16" t="str">
        <x:v>否</x:v>
      </x:c>
      <x:c r="H58" s="16" t="str">
        <x:v>行</x:v>
      </x:c>
      <x:c r="I58" s="16" t="str">
        <x:v>已确认</x:v>
      </x:c>
      <x:c r="J58" s="16" t="str">
        <x:v>&gt;= 2</x:v>
      </x:c>
      <x:c r="K58" s="16" t="str">
        <x:v>—</x:v>
      </x:c>
      <x:c r="L58" s="16" t="str">
        <x:v>Excel中的实际数据行号</x:v>
      </x:c>
    </x:row>
    <x:row r="59" ht="34" customHeight="1">
      <x:c r="A59" s="22" t="n">
        <x:v>55</x:v>
      </x:c>
      <x:c r="B59" s="16" t="str">
        <x:v>data_source</x:v>
      </x:c>
      <x:c r="C59" s="16" t="str">
        <x:v>source_version</x:v>
      </x:c>
      <x:c r="D59" s="16" t="str">
        <x:v>来源版本</x:v>
      </x:c>
      <x:c r="E59" s="16" t="str">
        <x:v>VARCHAR(32)</x:v>
      </x:c>
      <x:c r="F59" s="16" t="str">
        <x:v>—</x:v>
      </x:c>
      <x:c r="G59" s="16" t="str">
        <x:v>否</x:v>
      </x:c>
      <x:c r="H59" s="16" t="str">
        <x:v>—</x:v>
      </x:c>
      <x:c r="I59" s="16" t="str">
        <x:v>不适用</x:v>
      </x:c>
      <x:c r="J59" s="16" t="str">
        <x:v>原始版或0110</x:v>
      </x:c>
      <x:c r="K59" s="16" t="str">
        <x:v>—</x:v>
      </x:c>
      <x:c r="L59" s="16" t="str">
        <x:v>用于阻止复配旧版进入正式库</x:v>
      </x:c>
    </x:row>
    <x:row r="60" ht="34" customHeight="1">
      <x:c r="A60" s="22" t="n">
        <x:v>56</x:v>
      </x:c>
      <x:c r="B60" s="16" t="str">
        <x:v>data_source</x:v>
      </x:c>
      <x:c r="C60" s="16" t="str">
        <x:v>imported_at</x:v>
      </x:c>
      <x:c r="D60" s="16" t="str">
        <x:v>导入时间</x:v>
      </x:c>
      <x:c r="E60" s="16" t="str">
        <x:v>TIMESTAMPTZ</x:v>
      </x:c>
      <x:c r="F60" s="16" t="str">
        <x:v>—</x:v>
      </x:c>
      <x:c r="G60" s="16" t="str">
        <x:v>否</x:v>
      </x:c>
      <x:c r="H60" s="16" t="str">
        <x:v>—</x:v>
      </x:c>
      <x:c r="I60" s="16" t="str">
        <x:v>不适用</x:v>
      </x:c>
      <x:c r="J60" s="16" t="str">
        <x:v>有效时间戳</x:v>
      </x:c>
      <x:c r="K60" s="16" t="str">
        <x:v>CURRENT_TIMESTAMP</x:v>
      </x:c>
      <x:c r="L60" s="16" t="str">
        <x:v>PostgreSQL带时区时间</x:v>
      </x:c>
    </x:row>
    <x:row r="61">
      <x:c r="A61" t="n">
        <x:v>57</x:v>
      </x:c>
      <x:c r="B61" t="str">
        <x:v>recycled_dataset</x:v>
      </x:c>
      <x:c r="C61" t="str">
        <x:v>dataset_id</x:v>
      </x:c>
      <x:c r="D61" t="str">
        <x:v>数据集编号</x:v>
      </x:c>
      <x:c r="E61" t="str">
        <x:v>BIGINT</x:v>
      </x:c>
      <x:c r="F61" t="str">
        <x:v>主键</x:v>
      </x:c>
      <x:c r="G61" t="str">
        <x:v>否</x:v>
      </x:c>
      <x:c r="H61" t="str">
        <x:v>—</x:v>
      </x:c>
      <x:c r="I61" t="str">
        <x:v>不适用</x:v>
      </x:c>
      <x:c r="J61" t="str">
        <x:v>&gt; 0</x:v>
      </x:c>
      <x:c r="K61" t="str">
        <x:v>IDENTITY</x:v>
      </x:c>
      <x:c r="L61" t="str">
        <x:v>再生纸浆来源数据集内部编号</x:v>
      </x:c>
    </x:row>
    <x:row r="62">
      <x:c r="A62" t="n">
        <x:v>58</x:v>
      </x:c>
      <x:c r="B62" t="str">
        <x:v>recycled_dataset</x:v>
      </x:c>
      <x:c r="C62" t="str">
        <x:v>dataset_code</x:v>
      </x:c>
      <x:c r="D62" t="str">
        <x:v>数据集代码</x:v>
      </x:c>
      <x:c r="E62" t="str">
        <x:v>VARCHAR(32)</x:v>
      </x:c>
      <x:c r="F62" t="str">
        <x:v>唯一键</x:v>
      </x:c>
      <x:c r="G62" t="str">
        <x:v>否</x:v>
      </x:c>
      <x:c r="H62" t="str">
        <x:v>—</x:v>
      </x:c>
      <x:c r="I62" t="str">
        <x:v>不适用</x:v>
      </x:c>
      <x:c r="J62" t="str">
        <x:v>全库唯一</x:v>
      </x:c>
      <x:c r="K62" t="str">
        <x:v>—</x:v>
      </x:c>
      <x:c r="L62" t="str">
        <x:v>稳定代码RECYCLED_SUMMARY_2025</x:v>
      </x:c>
    </x:row>
    <x:row r="63">
      <x:c r="A63" t="n">
        <x:v>59</x:v>
      </x:c>
      <x:c r="B63" t="str">
        <x:v>recycled_dataset</x:v>
      </x:c>
      <x:c r="C63" t="str">
        <x:v>study_name</x:v>
      </x:c>
      <x:c r="D63" t="str">
        <x:v>研究名称</x:v>
      </x:c>
      <x:c r="E63" t="str">
        <x:v>VARCHAR(128)</x:v>
      </x:c>
      <x:c r="F63" t="str">
        <x:v>—</x:v>
      </x:c>
      <x:c r="G63" t="str">
        <x:v>否</x:v>
      </x:c>
      <x:c r="H63" t="str">
        <x:v>—</x:v>
      </x:c>
      <x:c r="I63" t="str">
        <x:v>不适用</x:v>
      </x:c>
      <x:c r="J63" t="str">
        <x:v>非空</x:v>
      </x:c>
      <x:c r="K63" t="str">
        <x:v>—</x:v>
      </x:c>
      <x:c r="L63" t="str">
        <x:v>再生纸浆循环回用实验</x:v>
      </x:c>
    </x:row>
    <x:row r="64">
      <x:c r="A64" t="n">
        <x:v>60</x:v>
      </x:c>
      <x:c r="B64" t="str">
        <x:v>recycled_dataset</x:v>
      </x:c>
      <x:c r="C64" t="str">
        <x:v>file_name</x:v>
      </x:c>
      <x:c r="D64" t="str">
        <x:v>来源文件名</x:v>
      </x:c>
      <x:c r="E64" t="str">
        <x:v>VARCHAR(255)</x:v>
      </x:c>
      <x:c r="F64" t="str">
        <x:v>唯一键组成</x:v>
      </x:c>
      <x:c r="G64" t="str">
        <x:v>否</x:v>
      </x:c>
      <x:c r="H64" t="str">
        <x:v>—</x:v>
      </x:c>
      <x:c r="I64" t="str">
        <x:v>不适用</x:v>
      </x:c>
      <x:c r="J64" t="str">
        <x:v>数据汇总(1).xlsx</x:v>
      </x:c>
      <x:c r="K64" t="str">
        <x:v>—</x:v>
      </x:c>
      <x:c r="L64" t="str">
        <x:v>保留实际工作簿名</x:v>
      </x:c>
    </x:row>
    <x:row r="65">
      <x:c r="A65" t="n">
        <x:v>61</x:v>
      </x:c>
      <x:c r="B65" t="str">
        <x:v>recycled_dataset</x:v>
      </x:c>
      <x:c r="C65" t="str">
        <x:v>sheet_name</x:v>
      </x:c>
      <x:c r="D65" t="str">
        <x:v>来源工作表</x:v>
      </x:c>
      <x:c r="E65" t="str">
        <x:v>VARCHAR(128)</x:v>
      </x:c>
      <x:c r="F65" t="str">
        <x:v>唯一键组成</x:v>
      </x:c>
      <x:c r="G65" t="str">
        <x:v>否</x:v>
      </x:c>
      <x:c r="H65" t="str">
        <x:v>—</x:v>
      </x:c>
      <x:c r="I65" t="str">
        <x:v>不适用</x:v>
      </x:c>
      <x:c r="J65" t="str">
        <x:v>Sheet1</x:v>
      </x:c>
      <x:c r="K65" t="str">
        <x:v>—</x:v>
      </x:c>
      <x:c r="L65" t="str">
        <x:v>有效工作表</x:v>
      </x:c>
    </x:row>
    <x:row r="66">
      <x:c r="A66" t="n">
        <x:v>62</x:v>
      </x:c>
      <x:c r="B66" t="str">
        <x:v>recycled_dataset</x:v>
      </x:c>
      <x:c r="C66" t="str">
        <x:v>source_version</x:v>
      </x:c>
      <x:c r="D66" t="str">
        <x:v>来源版本</x:v>
      </x:c>
      <x:c r="E66" t="str">
        <x:v>VARCHAR(32)</x:v>
      </x:c>
      <x:c r="F66" t="str">
        <x:v>唯一键组成</x:v>
      </x:c>
      <x:c r="G66" t="str">
        <x:v>否</x:v>
      </x:c>
      <x:c r="H66" t="str">
        <x:v>—</x:v>
      </x:c>
      <x:c r="I66" t="str">
        <x:v>不适用</x:v>
      </x:c>
      <x:c r="J66" t="str">
        <x:v>正式汇总版</x:v>
      </x:c>
      <x:c r="K66" t="str">
        <x:v>—</x:v>
      </x:c>
      <x:c r="L66" t="str">
        <x:v>固定正式版本名称</x:v>
      </x:c>
    </x:row>
    <x:row r="67">
      <x:c r="A67" t="n">
        <x:v>63</x:v>
      </x:c>
      <x:c r="B67" t="str">
        <x:v>recycled_dataset</x:v>
      </x:c>
      <x:c r="C67" t="str">
        <x:v>file_sha256</x:v>
      </x:c>
      <x:c r="D67" t="str">
        <x:v>文件SHA-256</x:v>
      </x:c>
      <x:c r="E67" t="str">
        <x:v>CHAR(64)</x:v>
      </x:c>
      <x:c r="F67" t="str">
        <x:v>唯一键组成</x:v>
      </x:c>
      <x:c r="G67" t="str">
        <x:v>否</x:v>
      </x:c>
      <x:c r="H67" t="str">
        <x:v>—</x:v>
      </x:c>
      <x:c r="I67" t="str">
        <x:v>不适用</x:v>
      </x:c>
      <x:c r="J67" t="str">
        <x:v>64位小写十六进制</x:v>
      </x:c>
      <x:c r="K67" t="str">
        <x:v>—</x:v>
      </x:c>
      <x:c r="L67" t="str">
        <x:v>固定实际导入工作簿版本</x:v>
      </x:c>
    </x:row>
    <x:row r="68">
      <x:c r="A68" t="n">
        <x:v>64</x:v>
      </x:c>
      <x:c r="B68" t="str">
        <x:v>recycled_dataset</x:v>
      </x:c>
      <x:c r="C68" t="str">
        <x:v>workbook_creator</x:v>
      </x:c>
      <x:c r="D68" t="str">
        <x:v>工作簿创建者</x:v>
      </x:c>
      <x:c r="E68" t="str">
        <x:v>VARCHAR(100)</x:v>
      </x:c>
      <x:c r="F68" t="str">
        <x:v>—</x:v>
      </x:c>
      <x:c r="G68" t="str">
        <x:v>是</x:v>
      </x:c>
      <x:c r="H68" t="str">
        <x:v>—</x:v>
      </x:c>
      <x:c r="I68" t="str">
        <x:v>不适用</x:v>
      </x:c>
      <x:c r="J68" t="str">
        <x:v>—</x:v>
      </x:c>
      <x:c r="K68" t="str">
        <x:v>NULL</x:v>
      </x:c>
      <x:c r="L68" t="str">
        <x:v>读取工作簿核心属性</x:v>
      </x:c>
    </x:row>
    <x:row r="69">
      <x:c r="A69" t="n">
        <x:v>65</x:v>
      </x:c>
      <x:c r="B69" t="str">
        <x:v>recycled_dataset</x:v>
      </x:c>
      <x:c r="C69" t="str">
        <x:v>workbook_last_modified_by</x:v>
      </x:c>
      <x:c r="D69" t="str">
        <x:v>最后修改者</x:v>
      </x:c>
      <x:c r="E69" t="str">
        <x:v>VARCHAR(100)</x:v>
      </x:c>
      <x:c r="F69" t="str">
        <x:v>—</x:v>
      </x:c>
      <x:c r="G69" t="str">
        <x:v>是</x:v>
      </x:c>
      <x:c r="H69" t="str">
        <x:v>—</x:v>
      </x:c>
      <x:c r="I69" t="str">
        <x:v>不适用</x:v>
      </x:c>
      <x:c r="J69" t="str">
        <x:v>—</x:v>
      </x:c>
      <x:c r="K69" t="str">
        <x:v>NULL</x:v>
      </x:c>
      <x:c r="L69" t="str">
        <x:v>读取工作簿核心属性</x:v>
      </x:c>
    </x:row>
    <x:row r="70">
      <x:c r="A70" t="n">
        <x:v>66</x:v>
      </x:c>
      <x:c r="B70" t="str">
        <x:v>recycled_dataset</x:v>
      </x:c>
      <x:c r="C70" t="str">
        <x:v>notes</x:v>
      </x:c>
      <x:c r="D70" t="str">
        <x:v>数据集备注</x:v>
      </x:c>
      <x:c r="E70" t="str">
        <x:v>TEXT</x:v>
      </x:c>
      <x:c r="F70" t="str">
        <x:v>—</x:v>
      </x:c>
      <x:c r="G70" t="str">
        <x:v>是</x:v>
      </x:c>
      <x:c r="H70" t="str">
        <x:v>—</x:v>
      </x:c>
      <x:c r="I70" t="str">
        <x:v>不适用</x:v>
      </x:c>
      <x:c r="J70" t="str">
        <x:v>—</x:v>
      </x:c>
      <x:c r="K70" t="str">
        <x:v>NULL</x:v>
      </x:c>
      <x:c r="L70" t="str">
        <x:v>记录条件未知和原值保留原则</x:v>
      </x:c>
    </x:row>
    <x:row r="71">
      <x:c r="A71" t="n">
        <x:v>67</x:v>
      </x:c>
      <x:c r="B71" t="str">
        <x:v>recycled_dataset</x:v>
      </x:c>
      <x:c r="C71" t="str">
        <x:v>imported_at</x:v>
      </x:c>
      <x:c r="D71" t="str">
        <x:v>导入时间</x:v>
      </x:c>
      <x:c r="E71" t="str">
        <x:v>TIMESTAMPTZ</x:v>
      </x:c>
      <x:c r="F71" t="str">
        <x:v>—</x:v>
      </x:c>
      <x:c r="G71" t="str">
        <x:v>否</x:v>
      </x:c>
      <x:c r="H71" t="str">
        <x:v>—</x:v>
      </x:c>
      <x:c r="I71" t="str">
        <x:v>不适用</x:v>
      </x:c>
      <x:c r="J71" t="str">
        <x:v>有效时间戳</x:v>
      </x:c>
      <x:c r="K71" t="str">
        <x:v>CURRENT_TIMESTAMP</x:v>
      </x:c>
      <x:c r="L71" t="str">
        <x:v>PostgreSQL带时区时间</x:v>
      </x:c>
    </x:row>
    <x:row r="72">
      <x:c r="A72" t="n">
        <x:v>68</x:v>
      </x:c>
      <x:c r="B72" t="str">
        <x:v>recycled_data_block</x:v>
      </x:c>
      <x:c r="C72" t="str">
        <x:v>block_id</x:v>
      </x:c>
      <x:c r="D72" t="str">
        <x:v>数据块编号</x:v>
      </x:c>
      <x:c r="E72" t="str">
        <x:v>BIGINT</x:v>
      </x:c>
      <x:c r="F72" t="str">
        <x:v>主键</x:v>
      </x:c>
      <x:c r="G72" t="str">
        <x:v>否</x:v>
      </x:c>
      <x:c r="H72" t="str">
        <x:v>—</x:v>
      </x:c>
      <x:c r="I72" t="str">
        <x:v>不适用</x:v>
      </x:c>
      <x:c r="J72" t="str">
        <x:v>&gt; 0</x:v>
      </x:c>
      <x:c r="K72" t="str">
        <x:v>IDENTITY</x:v>
      </x:c>
      <x:c r="L72" t="str">
        <x:v>数据库内部编号</x:v>
      </x:c>
    </x:row>
    <x:row r="73">
      <x:c r="A73" t="n">
        <x:v>69</x:v>
      </x:c>
      <x:c r="B73" t="str">
        <x:v>recycled_data_block</x:v>
      </x:c>
      <x:c r="C73" t="str">
        <x:v>dataset_id</x:v>
      </x:c>
      <x:c r="D73" t="str">
        <x:v>数据集编号</x:v>
      </x:c>
      <x:c r="E73" t="str">
        <x:v>BIGINT</x:v>
      </x:c>
      <x:c r="F73" t="str">
        <x:v>外键、唯一键组成</x:v>
      </x:c>
      <x:c r="G73" t="str">
        <x:v>否</x:v>
      </x:c>
      <x:c r="H73" t="str">
        <x:v>—</x:v>
      </x:c>
      <x:c r="I73" t="str">
        <x:v>不适用</x:v>
      </x:c>
      <x:c r="J73" t="str">
        <x:v>引用recycled_dataset</x:v>
      </x:c>
      <x:c r="K73" t="str">
        <x:v>—</x:v>
      </x:c>
      <x:c r="L73" t="str">
        <x:v>所属来源数据集</x:v>
      </x:c>
    </x:row>
    <x:row r="74">
      <x:c r="A74" t="n">
        <x:v>70</x:v>
      </x:c>
      <x:c r="B74" t="str">
        <x:v>recycled_data_block</x:v>
      </x:c>
      <x:c r="C74" t="str">
        <x:v>block_code</x:v>
      </x:c>
      <x:c r="D74" t="str">
        <x:v>数据块代码</x:v>
      </x:c>
      <x:c r="E74" t="str">
        <x:v>VARCHAR(8)</x:v>
      </x:c>
      <x:c r="F74" t="str">
        <x:v>数据集内唯一</x:v>
      </x:c>
      <x:c r="G74" t="str">
        <x:v>否</x:v>
      </x:c>
      <x:c r="H74" t="str">
        <x:v>—</x:v>
      </x:c>
      <x:c r="I74" t="str">
        <x:v>不适用</x:v>
      </x:c>
      <x:c r="J74" t="str">
        <x:v>G01至G14</x:v>
      </x:c>
      <x:c r="K74" t="str">
        <x:v>—</x:v>
      </x:c>
      <x:c r="L74" t="str">
        <x:v>按源表位置生成的稳定代码</x:v>
      </x:c>
    </x:row>
    <x:row r="75">
      <x:c r="A75" t="n">
        <x:v>71</x:v>
      </x:c>
      <x:c r="B75" t="str">
        <x:v>recycled_data_block</x:v>
      </x:c>
      <x:c r="C75" t="str">
        <x:v>block_name</x:v>
      </x:c>
      <x:c r="D75" t="str">
        <x:v>数据块名称</x:v>
      </x:c>
      <x:c r="E75" t="str">
        <x:v>VARCHAR(32)</x:v>
      </x:c>
      <x:c r="F75" t="str">
        <x:v>—</x:v>
      </x:c>
      <x:c r="G75" t="str">
        <x:v>否</x:v>
      </x:c>
      <x:c r="H75" t="str">
        <x:v>—</x:v>
      </x:c>
      <x:c r="I75" t="str">
        <x:v>不适用</x:v>
      </x:c>
      <x:c r="J75" t="str">
        <x:v>数据块01至数据块14</x:v>
      </x:c>
      <x:c r="K75" t="str">
        <x:v>—</x:v>
      </x:c>
      <x:c r="L75" t="str">
        <x:v>不代表已确认处理条件</x:v>
      </x:c>
    </x:row>
    <x:row r="76">
      <x:c r="A76" t="n">
        <x:v>72</x:v>
      </x:c>
      <x:c r="B76" t="str">
        <x:v>recycled_data_block</x:v>
      </x:c>
      <x:c r="C76" t="str">
        <x:v>block_order</x:v>
      </x:c>
      <x:c r="D76" t="str">
        <x:v>数据块顺序</x:v>
      </x:c>
      <x:c r="E76" t="str">
        <x:v>SMALLINT</x:v>
      </x:c>
      <x:c r="F76" t="str">
        <x:v>数据集内唯一</x:v>
      </x:c>
      <x:c r="G76" t="str">
        <x:v>否</x:v>
      </x:c>
      <x:c r="H76" t="str">
        <x:v>—</x:v>
      </x:c>
      <x:c r="I76" t="str">
        <x:v>不适用</x:v>
      </x:c>
      <x:c r="J76" t="str">
        <x:v>&gt; 0</x:v>
      </x:c>
      <x:c r="K76" t="str">
        <x:v>—</x:v>
      </x:c>
      <x:c r="L76" t="str">
        <x:v>按源表顺序编号</x:v>
      </x:c>
    </x:row>
    <x:row r="77">
      <x:c r="A77" t="n">
        <x:v>73</x:v>
      </x:c>
      <x:c r="B77" t="str">
        <x:v>recycled_data_block</x:v>
      </x:c>
      <x:c r="C77" t="str">
        <x:v>section_no</x:v>
      </x:c>
      <x:c r="D77" t="str">
        <x:v>源表分段编号</x:v>
      </x:c>
      <x:c r="E77" t="str">
        <x:v>SMALLINT</x:v>
      </x:c>
      <x:c r="F77" t="str">
        <x:v>—</x:v>
      </x:c>
      <x:c r="G77" t="str">
        <x:v>否</x:v>
      </x:c>
      <x:c r="H77" t="str">
        <x:v>—</x:v>
      </x:c>
      <x:c r="I77" t="str">
        <x:v>不适用</x:v>
      </x:c>
      <x:c r="J77" t="str">
        <x:v>&gt; 0</x:v>
      </x:c>
      <x:c r="K77" t="str">
        <x:v>—</x:v>
      </x:c>
      <x:c r="L77" t="str">
        <x:v>区分源表两个区域</x:v>
      </x:c>
    </x:row>
    <x:row r="78">
      <x:c r="A78" t="n">
        <x:v>74</x:v>
      </x:c>
      <x:c r="B78" t="str">
        <x:v>recycled_data_block</x:v>
      </x:c>
      <x:c r="C78" t="str">
        <x:v>contributor_name</x:v>
      </x:c>
      <x:c r="D78" t="str">
        <x:v>贡献者姓名</x:v>
      </x:c>
      <x:c r="E78" t="str">
        <x:v>VARCHAR(100)</x:v>
      </x:c>
      <x:c r="F78" t="str">
        <x:v>—</x:v>
      </x:c>
      <x:c r="G78" t="str">
        <x:v>是</x:v>
      </x:c>
      <x:c r="H78" t="str">
        <x:v>—</x:v>
      </x:c>
      <x:c r="I78" t="str">
        <x:v>不适用</x:v>
      </x:c>
      <x:c r="J78" t="str">
        <x:v>—</x:v>
      </x:c>
      <x:c r="K78" t="str">
        <x:v>NULL</x:v>
      </x:c>
      <x:c r="L78" t="str">
        <x:v>来源资料能够确认时记录</x:v>
      </x:c>
    </x:row>
    <x:row r="79">
      <x:c r="A79" t="n">
        <x:v>75</x:v>
      </x:c>
      <x:c r="B79" t="str">
        <x:v>recycled_data_block</x:v>
      </x:c>
      <x:c r="C79" t="str">
        <x:v>raw_material_grade</x:v>
      </x:c>
      <x:c r="D79" t="str">
        <x:v>原料牌号</x:v>
      </x:c>
      <x:c r="E79" t="str">
        <x:v>VARCHAR(32)</x:v>
      </x:c>
      <x:c r="F79" t="str">
        <x:v>—</x:v>
      </x:c>
      <x:c r="G79" t="str">
        <x:v>是</x:v>
      </x:c>
      <x:c r="H79" t="str">
        <x:v>—</x:v>
      </x:c>
      <x:c r="I79" t="str">
        <x:v>不适用</x:v>
      </x:c>
      <x:c r="J79" t="str">
        <x:v>美废12#、美废13#或NULL</x:v>
      </x:c>
      <x:c r="K79" t="str">
        <x:v>NULL</x:v>
      </x:c>
      <x:c r="L79" t="str">
        <x:v>依据批注、填色和项目说明确定</x:v>
      </x:c>
    </x:row>
    <x:row r="80">
      <x:c r="A80" t="n">
        <x:v>76</x:v>
      </x:c>
      <x:c r="B80" t="str">
        <x:v>recycled_data_block</x:v>
      </x:c>
      <x:c r="C80" t="str">
        <x:v>material_assignment_basis</x:v>
      </x:c>
      <x:c r="D80" t="str">
        <x:v>原料判定依据</x:v>
      </x:c>
      <x:c r="E80" t="str">
        <x:v>VARCHAR(128)</x:v>
      </x:c>
      <x:c r="F80" t="str">
        <x:v>—</x:v>
      </x:c>
      <x:c r="G80" t="str">
        <x:v>是</x:v>
      </x:c>
      <x:c r="H80" t="str">
        <x:v>—</x:v>
      </x:c>
      <x:c r="I80" t="str">
        <x:v>不适用</x:v>
      </x:c>
      <x:c r="J80" t="str">
        <x:v>—</x:v>
      </x:c>
      <x:c r="K80" t="str">
        <x:v>NULL</x:v>
      </x:c>
      <x:c r="L80" t="str">
        <x:v>说明原料牌号判定证据</x:v>
      </x:c>
    </x:row>
    <x:row r="81">
      <x:c r="A81" t="n">
        <x:v>77</x:v>
      </x:c>
      <x:c r="B81" t="str">
        <x:v>recycled_data_block</x:v>
      </x:c>
      <x:c r="C81" t="str">
        <x:v>condition_label</x:v>
      </x:c>
      <x:c r="D81" t="str">
        <x:v>正式处理条件</x:v>
      </x:c>
      <x:c r="E81" t="str">
        <x:v>VARCHAR(128)</x:v>
      </x:c>
      <x:c r="F81" t="str">
        <x:v>—</x:v>
      </x:c>
      <x:c r="G81" t="str">
        <x:v>是</x:v>
      </x:c>
      <x:c r="H81" t="str">
        <x:v>—</x:v>
      </x:c>
      <x:c r="I81" t="str">
        <x:v>不适用</x:v>
      </x:c>
      <x:c r="J81" t="str">
        <x:v>unknown状态时必须为NULL</x:v>
      </x:c>
      <x:c r="K81" t="str">
        <x:v>NULL</x:v>
      </x:c>
      <x:c r="L81" t="str">
        <x:v>当前资料无法确认，不按数值推测</x:v>
      </x:c>
    </x:row>
    <x:row r="82">
      <x:c r="A82" t="n">
        <x:v>78</x:v>
      </x:c>
      <x:c r="B82" t="str">
        <x:v>recycled_data_block</x:v>
      </x:c>
      <x:c r="C82" t="str">
        <x:v>metadata_status</x:v>
      </x:c>
      <x:c r="D82" t="str">
        <x:v>元数据状态</x:v>
      </x:c>
      <x:c r="E82" t="str">
        <x:v>VARCHAR(16)</x:v>
      </x:c>
      <x:c r="F82" t="str">
        <x:v>—</x:v>
      </x:c>
      <x:c r="G82" t="str">
        <x:v>否</x:v>
      </x:c>
      <x:c r="H82" t="str">
        <x:v>—</x:v>
      </x:c>
      <x:c r="I82" t="str">
        <x:v>不适用</x:v>
      </x:c>
      <x:c r="J82" t="str">
        <x:v>known或unknown</x:v>
      </x:c>
      <x:c r="K82" t="str">
        <x:v>unknown</x:v>
      </x:c>
      <x:c r="L82" t="str">
        <x:v>当前14个数据块均为unknown</x:v>
      </x:c>
    </x:row>
    <x:row r="83">
      <x:c r="A83" t="n">
        <x:v>79</x:v>
      </x:c>
      <x:c r="B83" t="str">
        <x:v>recycled_data_block</x:v>
      </x:c>
      <x:c r="C83" t="str">
        <x:v>cycle_count</x:v>
      </x:c>
      <x:c r="D83" t="str">
        <x:v>循环档数</x:v>
      </x:c>
      <x:c r="E83" t="str">
        <x:v>SMALLINT</x:v>
      </x:c>
      <x:c r="F83" t="str">
        <x:v>—</x:v>
      </x:c>
      <x:c r="G83" t="str">
        <x:v>否</x:v>
      </x:c>
      <x:c r="H83" t="str">
        <x:v>档</x:v>
      </x:c>
      <x:c r="I83" t="str">
        <x:v>已确认</x:v>
      </x:c>
      <x:c r="J83" t="str">
        <x:v>&gt; 0</x:v>
      </x:c>
      <x:c r="K83" t="str">
        <x:v>—</x:v>
      </x:c>
      <x:c r="L83" t="str">
        <x:v>该数据块包含的循环次数档数</x:v>
      </x:c>
    </x:row>
    <x:row r="84">
      <x:c r="A84" t="n">
        <x:v>80</x:v>
      </x:c>
      <x:c r="B84" t="str">
        <x:v>recycled_data_block</x:v>
      </x:c>
      <x:c r="C84" t="str">
        <x:v>expected_replicates_per_cycle</x:v>
      </x:c>
      <x:c r="D84" t="str">
        <x:v>每循环预期重复数</x:v>
      </x:c>
      <x:c r="E84" t="str">
        <x:v>SMALLINT</x:v>
      </x:c>
      <x:c r="F84" t="str">
        <x:v>—</x:v>
      </x:c>
      <x:c r="G84" t="str">
        <x:v>否</x:v>
      </x:c>
      <x:c r="H84" t="str">
        <x:v>次</x:v>
      </x:c>
      <x:c r="I84" t="str">
        <x:v>已确认</x:v>
      </x:c>
      <x:c r="J84" t="str">
        <x:v>&gt; 0</x:v>
      </x:c>
      <x:c r="K84" t="str">
        <x:v>—</x:v>
      </x:c>
      <x:c r="L84" t="str">
        <x:v>用于核对数据块完整性</x:v>
      </x:c>
    </x:row>
    <x:row r="85">
      <x:c r="A85" t="n">
        <x:v>81</x:v>
      </x:c>
      <x:c r="B85" t="str">
        <x:v>recycled_data_block</x:v>
      </x:c>
      <x:c r="C85" t="str">
        <x:v>source_start_row</x:v>
      </x:c>
      <x:c r="D85" t="str">
        <x:v>源表起始行</x:v>
      </x:c>
      <x:c r="E85" t="str">
        <x:v>INTEGER</x:v>
      </x:c>
      <x:c r="F85" t="str">
        <x:v>—</x:v>
      </x:c>
      <x:c r="G85" t="str">
        <x:v>否</x:v>
      </x:c>
      <x:c r="H85" t="str">
        <x:v>行</x:v>
      </x:c>
      <x:c r="I85" t="str">
        <x:v>已确认</x:v>
      </x:c>
      <x:c r="J85" t="str">
        <x:v>&gt;= 2</x:v>
      </x:c>
      <x:c r="K85" t="str">
        <x:v>—</x:v>
      </x:c>
      <x:c r="L85" t="str">
        <x:v>数据块在Excel中的起始行</x:v>
      </x:c>
    </x:row>
    <x:row r="86">
      <x:c r="A86" t="n">
        <x:v>82</x:v>
      </x:c>
      <x:c r="B86" t="str">
        <x:v>recycled_data_block</x:v>
      </x:c>
      <x:c r="C86" t="str">
        <x:v>source_end_row</x:v>
      </x:c>
      <x:c r="D86" t="str">
        <x:v>源表结束行</x:v>
      </x:c>
      <x:c r="E86" t="str">
        <x:v>INTEGER</x:v>
      </x:c>
      <x:c r="F86" t="str">
        <x:v>—</x:v>
      </x:c>
      <x:c r="G86" t="str">
        <x:v>否</x:v>
      </x:c>
      <x:c r="H86" t="str">
        <x:v>行</x:v>
      </x:c>
      <x:c r="I86" t="str">
        <x:v>已确认</x:v>
      </x:c>
      <x:c r="J86" t="str">
        <x:v>&gt;= source_start_row</x:v>
      </x:c>
      <x:c r="K86" t="str">
        <x:v>—</x:v>
      </x:c>
      <x:c r="L86" t="str">
        <x:v>数据块在Excel中的结束行</x:v>
      </x:c>
    </x:row>
    <x:row r="87">
      <x:c r="A87" t="n">
        <x:v>83</x:v>
      </x:c>
      <x:c r="B87" t="str">
        <x:v>recycled_data_block</x:v>
      </x:c>
      <x:c r="C87" t="str">
        <x:v>notes</x:v>
      </x:c>
      <x:c r="D87" t="str">
        <x:v>数据块备注</x:v>
      </x:c>
      <x:c r="E87" t="str">
        <x:v>TEXT</x:v>
      </x:c>
      <x:c r="F87" t="str">
        <x:v>—</x:v>
      </x:c>
      <x:c r="G87" t="str">
        <x:v>是</x:v>
      </x:c>
      <x:c r="H87" t="str">
        <x:v>—</x:v>
      </x:c>
      <x:c r="I87" t="str">
        <x:v>不适用</x:v>
      </x:c>
      <x:c r="J87" t="str">
        <x:v>—</x:v>
      </x:c>
      <x:c r="K87" t="str">
        <x:v>NULL</x:v>
      </x:c>
      <x:c r="L87" t="str">
        <x:v>记录条件未知等必要说明</x:v>
      </x:c>
    </x:row>
    <x:row r="88">
      <x:c r="A88" t="n">
        <x:v>84</x:v>
      </x:c>
      <x:c r="B88" t="str">
        <x:v>recycled_cycle_observation</x:v>
      </x:c>
      <x:c r="C88" t="str">
        <x:v>observation_id</x:v>
      </x:c>
      <x:c r="D88" t="str">
        <x:v>观测编号</x:v>
      </x:c>
      <x:c r="E88" t="str">
        <x:v>BIGINT</x:v>
      </x:c>
      <x:c r="F88" t="str">
        <x:v>主键</x:v>
      </x:c>
      <x:c r="G88" t="str">
        <x:v>否</x:v>
      </x:c>
      <x:c r="H88" t="str">
        <x:v>—</x:v>
      </x:c>
      <x:c r="I88" t="str">
        <x:v>不适用</x:v>
      </x:c>
      <x:c r="J88" t="str">
        <x:v>&gt; 0</x:v>
      </x:c>
      <x:c r="K88" t="str">
        <x:v>IDENTITY</x:v>
      </x:c>
      <x:c r="L88" t="str">
        <x:v>逐行观测内部编号</x:v>
      </x:c>
    </x:row>
    <x:row r="89">
      <x:c r="A89" t="n">
        <x:v>85</x:v>
      </x:c>
      <x:c r="B89" t="str">
        <x:v>recycled_cycle_observation</x:v>
      </x:c>
      <x:c r="C89" t="str">
        <x:v>dataset_id</x:v>
      </x:c>
      <x:c r="D89" t="str">
        <x:v>数据集编号</x:v>
      </x:c>
      <x:c r="E89" t="str">
        <x:v>BIGINT</x:v>
      </x:c>
      <x:c r="F89" t="str">
        <x:v>外键、唯一键组成</x:v>
      </x:c>
      <x:c r="G89" t="str">
        <x:v>否</x:v>
      </x:c>
      <x:c r="H89" t="str">
        <x:v>—</x:v>
      </x:c>
      <x:c r="I89" t="str">
        <x:v>不适用</x:v>
      </x:c>
      <x:c r="J89" t="str">
        <x:v>引用recycled_dataset</x:v>
      </x:c>
      <x:c r="K89" t="str">
        <x:v>—</x:v>
      </x:c>
      <x:c r="L89" t="str">
        <x:v>所属数据集</x:v>
      </x:c>
    </x:row>
    <x:row r="90">
      <x:c r="A90" t="n">
        <x:v>86</x:v>
      </x:c>
      <x:c r="B90" t="str">
        <x:v>recycled_cycle_observation</x:v>
      </x:c>
      <x:c r="C90" t="str">
        <x:v>block_id</x:v>
      </x:c>
      <x:c r="D90" t="str">
        <x:v>数据块编号</x:v>
      </x:c>
      <x:c r="E90" t="str">
        <x:v>BIGINT</x:v>
      </x:c>
      <x:c r="F90" t="str">
        <x:v>外键、唯一键组成</x:v>
      </x:c>
      <x:c r="G90" t="str">
        <x:v>否</x:v>
      </x:c>
      <x:c r="H90" t="str">
        <x:v>—</x:v>
      </x:c>
      <x:c r="I90" t="str">
        <x:v>不适用</x:v>
      </x:c>
      <x:c r="J90" t="str">
        <x:v>引用recycled_data_block</x:v>
      </x:c>
      <x:c r="K90" t="str">
        <x:v>—</x:v>
      </x:c>
      <x:c r="L90" t="str">
        <x:v>所属数据块</x:v>
      </x:c>
    </x:row>
    <x:row r="91">
      <x:c r="A91" t="n">
        <x:v>87</x:v>
      </x:c>
      <x:c r="B91" t="str">
        <x:v>recycled_cycle_observation</x:v>
      </x:c>
      <x:c r="C91" t="str">
        <x:v>cycle_no</x:v>
      </x:c>
      <x:c r="D91" t="str">
        <x:v>循环次数</x:v>
      </x:c>
      <x:c r="E91" t="str">
        <x:v>SMALLINT</x:v>
      </x:c>
      <x:c r="F91" t="str">
        <x:v>唯一键组成</x:v>
      </x:c>
      <x:c r="G91" t="str">
        <x:v>否</x:v>
      </x:c>
      <x:c r="H91" t="str">
        <x:v>次</x:v>
      </x:c>
      <x:c r="I91" t="str">
        <x:v>已确认</x:v>
      </x:c>
      <x:c r="J91" t="str">
        <x:v>&gt; 0</x:v>
      </x:c>
      <x:c r="K91" t="str">
        <x:v>—</x:v>
      </x:c>
      <x:c r="L91" t="str">
        <x:v>源表循环次数</x:v>
      </x:c>
    </x:row>
    <x:row r="92">
      <x:c r="A92" t="n">
        <x:v>88</x:v>
      </x:c>
      <x:c r="B92" t="str">
        <x:v>recycled_cycle_observation</x:v>
      </x:c>
      <x:c r="C92" t="str">
        <x:v>replicate_no</x:v>
      </x:c>
      <x:c r="D92" t="str">
        <x:v>重复序号</x:v>
      </x:c>
      <x:c r="E92" t="str">
        <x:v>SMALLINT</x:v>
      </x:c>
      <x:c r="F92" t="str">
        <x:v>唯一键组成</x:v>
      </x:c>
      <x:c r="G92" t="str">
        <x:v>否</x:v>
      </x:c>
      <x:c r="H92" t="str">
        <x:v>次</x:v>
      </x:c>
      <x:c r="I92" t="str">
        <x:v>已确认</x:v>
      </x:c>
      <x:c r="J92" t="str">
        <x:v>&gt; 0</x:v>
      </x:c>
      <x:c r="K92" t="str">
        <x:v>—</x:v>
      </x:c>
      <x:c r="L92" t="str">
        <x:v>同一数据块和循环内按源行生成</x:v>
      </x:c>
    </x:row>
    <x:row r="93">
      <x:c r="A93" t="n">
        <x:v>89</x:v>
      </x:c>
      <x:c r="B93" t="str">
        <x:v>recycled_cycle_observation</x:v>
      </x:c>
      <x:c r="C93" t="str">
        <x:v>source_row</x:v>
      </x:c>
      <x:c r="D93" t="str">
        <x:v>Excel源行</x:v>
      </x:c>
      <x:c r="E93" t="str">
        <x:v>INTEGER</x:v>
      </x:c>
      <x:c r="F93" t="str">
        <x:v>数据集内唯一</x:v>
      </x:c>
      <x:c r="G93" t="str">
        <x:v>否</x:v>
      </x:c>
      <x:c r="H93" t="str">
        <x:v>行</x:v>
      </x:c>
      <x:c r="I93" t="str">
        <x:v>已确认</x:v>
      </x:c>
      <x:c r="J93" t="str">
        <x:v>&gt;= 2</x:v>
      </x:c>
      <x:c r="K93" t="str">
        <x:v>—</x:v>
      </x:c>
      <x:c r="L93" t="str">
        <x:v>原始观测所在Excel行</x:v>
      </x:c>
    </x:row>
    <x:row r="94">
      <x:c r="A94" t="n">
        <x:v>90</x:v>
      </x:c>
      <x:c r="B94" t="str">
        <x:v>recycled_cycle_observation</x:v>
      </x:c>
      <x:c r="C94" t="str">
        <x:v>length_0_2_0_3_pct</x:v>
      </x:c>
      <x:c r="D94" t="str">
        <x:v>0.2-0.3mm纤维占比</x:v>
      </x:c>
      <x:c r="E94" t="str">
        <x:v>NUMERIC(18,12)</x:v>
      </x:c>
      <x:c r="F94" t="str">
        <x:v>—</x:v>
      </x:c>
      <x:c r="G94" t="str">
        <x:v>否</x:v>
      </x:c>
      <x:c r="H94" t="str">
        <x:v>%</x:v>
      </x:c>
      <x:c r="I94" t="str">
        <x:v>已确认</x:v>
      </x:c>
      <x:c r="J94" t="str">
        <x:v>0至100</x:v>
      </x:c>
      <x:c r="K94" t="str">
        <x:v>—</x:v>
      </x:c>
      <x:c r="L94" t="str">
        <x:v>保留源表原始精度；不平均、不自动归一化</x:v>
      </x:c>
    </x:row>
    <x:row r="95">
      <x:c r="A95" t="n">
        <x:v>91</x:v>
      </x:c>
      <x:c r="B95" t="str">
        <x:v>recycled_cycle_observation</x:v>
      </x:c>
      <x:c r="C95" t="str">
        <x:v>length_0_3_0_45_pct</x:v>
      </x:c>
      <x:c r="D95" t="str">
        <x:v>0.3-0.45mm纤维占比</x:v>
      </x:c>
      <x:c r="E95" t="str">
        <x:v>NUMERIC(18,12)</x:v>
      </x:c>
      <x:c r="F95" t="str">
        <x:v>—</x:v>
      </x:c>
      <x:c r="G95" t="str">
        <x:v>否</x:v>
      </x:c>
      <x:c r="H95" t="str">
        <x:v>%</x:v>
      </x:c>
      <x:c r="I95" t="str">
        <x:v>已确认</x:v>
      </x:c>
      <x:c r="J95" t="str">
        <x:v>0至100</x:v>
      </x:c>
      <x:c r="K95" t="str">
        <x:v>—</x:v>
      </x:c>
      <x:c r="L95" t="str">
        <x:v>保留源表原始精度；不平均、不自动归一化</x:v>
      </x:c>
    </x:row>
    <x:row r="96">
      <x:c r="A96" t="n">
        <x:v>92</x:v>
      </x:c>
      <x:c r="B96" t="str">
        <x:v>recycled_cycle_observation</x:v>
      </x:c>
      <x:c r="C96" t="str">
        <x:v>length_0_45_0_67_pct</x:v>
      </x:c>
      <x:c r="D96" t="str">
        <x:v>0.45-0.67mm纤维占比</x:v>
      </x:c>
      <x:c r="E96" t="str">
        <x:v>NUMERIC(18,12)</x:v>
      </x:c>
      <x:c r="F96" t="str">
        <x:v>—</x:v>
      </x:c>
      <x:c r="G96" t="str">
        <x:v>否</x:v>
      </x:c>
      <x:c r="H96" t="str">
        <x:v>%</x:v>
      </x:c>
      <x:c r="I96" t="str">
        <x:v>已确认</x:v>
      </x:c>
      <x:c r="J96" t="str">
        <x:v>0至100</x:v>
      </x:c>
      <x:c r="K96" t="str">
        <x:v>—</x:v>
      </x:c>
      <x:c r="L96" t="str">
        <x:v>保留源表原始精度；不平均、不自动归一化</x:v>
      </x:c>
    </x:row>
    <x:row r="97">
      <x:c r="A97" t="n">
        <x:v>93</x:v>
      </x:c>
      <x:c r="B97" t="str">
        <x:v>recycled_cycle_observation</x:v>
      </x:c>
      <x:c r="C97" t="str">
        <x:v>length_0_67_1_pct</x:v>
      </x:c>
      <x:c r="D97" t="str">
        <x:v>0.67-1mm纤维占比</x:v>
      </x:c>
      <x:c r="E97" t="str">
        <x:v>NUMERIC(18,12)</x:v>
      </x:c>
      <x:c r="F97" t="str">
        <x:v>—</x:v>
      </x:c>
      <x:c r="G97" t="str">
        <x:v>否</x:v>
      </x:c>
      <x:c r="H97" t="str">
        <x:v>%</x:v>
      </x:c>
      <x:c r="I97" t="str">
        <x:v>已确认</x:v>
      </x:c>
      <x:c r="J97" t="str">
        <x:v>0至100</x:v>
      </x:c>
      <x:c r="K97" t="str">
        <x:v>—</x:v>
      </x:c>
      <x:c r="L97" t="str">
        <x:v>保留源表原始精度；不平均、不自动归一化</x:v>
      </x:c>
    </x:row>
    <x:row r="98">
      <x:c r="A98" t="n">
        <x:v>94</x:v>
      </x:c>
      <x:c r="B98" t="str">
        <x:v>recycled_cycle_observation</x:v>
      </x:c>
      <x:c r="C98" t="str">
        <x:v>length_1_1_5_pct</x:v>
      </x:c>
      <x:c r="D98" t="str">
        <x:v>1-1.5mm纤维占比</x:v>
      </x:c>
      <x:c r="E98" t="str">
        <x:v>NUMERIC(18,12)</x:v>
      </x:c>
      <x:c r="F98" t="str">
        <x:v>—</x:v>
      </x:c>
      <x:c r="G98" t="str">
        <x:v>否</x:v>
      </x:c>
      <x:c r="H98" t="str">
        <x:v>%</x:v>
      </x:c>
      <x:c r="I98" t="str">
        <x:v>已确认</x:v>
      </x:c>
      <x:c r="J98" t="str">
        <x:v>0至100</x:v>
      </x:c>
      <x:c r="K98" t="str">
        <x:v>—</x:v>
      </x:c>
      <x:c r="L98" t="str">
        <x:v>保留源表原始精度；不平均、不自动归一化</x:v>
      </x:c>
    </x:row>
    <x:row r="99">
      <x:c r="A99" t="n">
        <x:v>95</x:v>
      </x:c>
      <x:c r="B99" t="str">
        <x:v>recycled_cycle_observation</x:v>
      </x:c>
      <x:c r="C99" t="str">
        <x:v>length_1_5_2_24_pct</x:v>
      </x:c>
      <x:c r="D99" t="str">
        <x:v>1.5-2.24mm纤维占比</x:v>
      </x:c>
      <x:c r="E99" t="str">
        <x:v>NUMERIC(18,12)</x:v>
      </x:c>
      <x:c r="F99" t="str">
        <x:v>—</x:v>
      </x:c>
      <x:c r="G99" t="str">
        <x:v>否</x:v>
      </x:c>
      <x:c r="H99" t="str">
        <x:v>%</x:v>
      </x:c>
      <x:c r="I99" t="str">
        <x:v>已确认</x:v>
      </x:c>
      <x:c r="J99" t="str">
        <x:v>0至100</x:v>
      </x:c>
      <x:c r="K99" t="str">
        <x:v>—</x:v>
      </x:c>
      <x:c r="L99" t="str">
        <x:v>保留源表原始精度；不平均、不自动归一化</x:v>
      </x:c>
    </x:row>
    <x:row r="100">
      <x:c r="A100" t="n">
        <x:v>96</x:v>
      </x:c>
      <x:c r="B100" t="str">
        <x:v>recycled_cycle_observation</x:v>
      </x:c>
      <x:c r="C100" t="str">
        <x:v>length_2_24_3_35_pct</x:v>
      </x:c>
      <x:c r="D100" t="str">
        <x:v>2.24-3.35mm纤维占比</x:v>
      </x:c>
      <x:c r="E100" t="str">
        <x:v>NUMERIC(18,12)</x:v>
      </x:c>
      <x:c r="F100" t="str">
        <x:v>—</x:v>
      </x:c>
      <x:c r="G100" t="str">
        <x:v>否</x:v>
      </x:c>
      <x:c r="H100" t="str">
        <x:v>%</x:v>
      </x:c>
      <x:c r="I100" t="str">
        <x:v>已确认</x:v>
      </x:c>
      <x:c r="J100" t="str">
        <x:v>0至100</x:v>
      </x:c>
      <x:c r="K100" t="str">
        <x:v>—</x:v>
      </x:c>
      <x:c r="L100" t="str">
        <x:v>保留源表原始精度；不平均、不自动归一化</x:v>
      </x:c>
    </x:row>
    <x:row r="101">
      <x:c r="A101" t="n">
        <x:v>97</x:v>
      </x:c>
      <x:c r="B101" t="str">
        <x:v>recycled_cycle_observation</x:v>
      </x:c>
      <x:c r="C101" t="str">
        <x:v>length_3_35_5_01_pct</x:v>
      </x:c>
      <x:c r="D101" t="str">
        <x:v>3.35-5.01mm纤维占比</x:v>
      </x:c>
      <x:c r="E101" t="str">
        <x:v>NUMERIC(18,12)</x:v>
      </x:c>
      <x:c r="F101" t="str">
        <x:v>—</x:v>
      </x:c>
      <x:c r="G101" t="str">
        <x:v>否</x:v>
      </x:c>
      <x:c r="H101" t="str">
        <x:v>%</x:v>
      </x:c>
      <x:c r="I101" t="str">
        <x:v>已确认</x:v>
      </x:c>
      <x:c r="J101" t="str">
        <x:v>0至100</x:v>
      </x:c>
      <x:c r="K101" t="str">
        <x:v>—</x:v>
      </x:c>
      <x:c r="L101" t="str">
        <x:v>保留源表原始精度；不平均、不自动归一化</x:v>
      </x:c>
    </x:row>
    <x:row r="102">
      <x:c r="A102" t="n">
        <x:v>98</x:v>
      </x:c>
      <x:c r="B102" t="str">
        <x:v>recycled_cycle_observation</x:v>
      </x:c>
      <x:c r="C102" t="str">
        <x:v>length_5_01_7_5_pct</x:v>
      </x:c>
      <x:c r="D102" t="str">
        <x:v>5.01-7.5mm纤维占比</x:v>
      </x:c>
      <x:c r="E102" t="str">
        <x:v>NUMERIC(18,12)</x:v>
      </x:c>
      <x:c r="F102" t="str">
        <x:v>—</x:v>
      </x:c>
      <x:c r="G102" t="str">
        <x:v>否</x:v>
      </x:c>
      <x:c r="H102" t="str">
        <x:v>%</x:v>
      </x:c>
      <x:c r="I102" t="str">
        <x:v>已确认</x:v>
      </x:c>
      <x:c r="J102" t="str">
        <x:v>0至100</x:v>
      </x:c>
      <x:c r="K102" t="str">
        <x:v>—</x:v>
      </x:c>
      <x:c r="L102" t="str">
        <x:v>保留源表原始精度；不平均、不自动归一化</x:v>
      </x:c>
    </x:row>
    <x:row r="103">
      <x:c r="A103" t="n">
        <x:v>99</x:v>
      </x:c>
      <x:c r="B103" t="str">
        <x:v>recycled_cycle_observation</x:v>
      </x:c>
      <x:c r="C103" t="str">
        <x:v>length_gt_7_5_pct</x:v>
      </x:c>
      <x:c r="D103" t="str">
        <x:v>大于7.5mm纤维占比</x:v>
      </x:c>
      <x:c r="E103" t="str">
        <x:v>NUMERIC(18,12)</x:v>
      </x:c>
      <x:c r="F103" t="str">
        <x:v>—</x:v>
      </x:c>
      <x:c r="G103" t="str">
        <x:v>否</x:v>
      </x:c>
      <x:c r="H103" t="str">
        <x:v>%</x:v>
      </x:c>
      <x:c r="I103" t="str">
        <x:v>已确认</x:v>
      </x:c>
      <x:c r="J103" t="str">
        <x:v>0至100</x:v>
      </x:c>
      <x:c r="K103" t="str">
        <x:v>—</x:v>
      </x:c>
      <x:c r="L103" t="str">
        <x:v>保留源表原始精度；不平均、不自动归一化</x:v>
      </x:c>
    </x:row>
    <x:row r="104">
      <x:c r="A104" t="n">
        <x:v>100</x:v>
      </x:c>
      <x:c r="B104" t="str">
        <x:v>recycled_cycle_observation</x:v>
      </x:c>
      <x:c r="C104" t="str">
        <x:v>fiber_length_arithmetic_mm</x:v>
      </x:c>
      <x:c r="D104" t="str">
        <x:v>算术平均纤维长度</x:v>
      </x:c>
      <x:c r="E104" t="str">
        <x:v>NUMERIC(18,12)</x:v>
      </x:c>
      <x:c r="F104" t="str">
        <x:v>—</x:v>
      </x:c>
      <x:c r="G104" t="str">
        <x:v>否</x:v>
      </x:c>
      <x:c r="H104" t="str">
        <x:v>mm</x:v>
      </x:c>
      <x:c r="I104" t="str">
        <x:v>已确认</x:v>
      </x:c>
      <x:c r="J104" t="str">
        <x:v>非负</x:v>
      </x:c>
      <x:c r="K104" t="str">
        <x:v>—</x:v>
      </x:c>
      <x:c r="L104" t="str">
        <x:v>保留源表原始精度；不平均、不自动归一化</x:v>
      </x:c>
    </x:row>
    <x:row r="105">
      <x:c r="A105" t="n">
        <x:v>101</x:v>
      </x:c>
      <x:c r="B105" t="str">
        <x:v>recycled_cycle_observation</x:v>
      </x:c>
      <x:c r="C105" t="str">
        <x:v>fiber_length_weighted_mm</x:v>
      </x:c>
      <x:c r="D105" t="str">
        <x:v>长度加权纤维长度</x:v>
      </x:c>
      <x:c r="E105" t="str">
        <x:v>NUMERIC(18,12)</x:v>
      </x:c>
      <x:c r="F105" t="str">
        <x:v>—</x:v>
      </x:c>
      <x:c r="G105" t="str">
        <x:v>否</x:v>
      </x:c>
      <x:c r="H105" t="str">
        <x:v>mm</x:v>
      </x:c>
      <x:c r="I105" t="str">
        <x:v>已确认</x:v>
      </x:c>
      <x:c r="J105" t="str">
        <x:v>非负</x:v>
      </x:c>
      <x:c r="K105" t="str">
        <x:v>—</x:v>
      </x:c>
      <x:c r="L105" t="str">
        <x:v>保留源表原始精度；不平均、不自动归一化</x:v>
      </x:c>
    </x:row>
    <x:row r="106">
      <x:c r="A106" t="n">
        <x:v>102</x:v>
      </x:c>
      <x:c r="B106" t="str">
        <x:v>recycled_cycle_observation</x:v>
      </x:c>
      <x:c r="C106" t="str">
        <x:v>fiber_width_um</x:v>
      </x:c>
      <x:c r="D106" t="str">
        <x:v>纤维宽度</x:v>
      </x:c>
      <x:c r="E106" t="str">
        <x:v>NUMERIC(18,12)</x:v>
      </x:c>
      <x:c r="F106" t="str">
        <x:v>—</x:v>
      </x:c>
      <x:c r="G106" t="str">
        <x:v>否</x:v>
      </x:c>
      <x:c r="H106" t="str">
        <x:v>μm</x:v>
      </x:c>
      <x:c r="I106" t="str">
        <x:v>已确认</x:v>
      </x:c>
      <x:c r="J106" t="str">
        <x:v>非负</x:v>
      </x:c>
      <x:c r="K106" t="str">
        <x:v>—</x:v>
      </x:c>
      <x:c r="L106" t="str">
        <x:v>保留源表原始精度；不平均、不自动归一化</x:v>
      </x:c>
    </x:row>
    <x:row r="107">
      <x:c r="A107" t="n">
        <x:v>103</x:v>
      </x:c>
      <x:c r="B107" t="str">
        <x:v>recycled_cycle_observation</x:v>
      </x:c>
      <x:c r="C107" t="str">
        <x:v>fiber_coarseness_mg_m</x:v>
      </x:c>
      <x:c r="D107" t="str">
        <x:v>纤维粗度</x:v>
      </x:c>
      <x:c r="E107" t="str">
        <x:v>NUMERIC(18,12)</x:v>
      </x:c>
      <x:c r="F107" t="str">
        <x:v>—</x:v>
      </x:c>
      <x:c r="G107" t="str">
        <x:v>否</x:v>
      </x:c>
      <x:c r="H107" t="str">
        <x:v>mg/m</x:v>
      </x:c>
      <x:c r="I107" t="str">
        <x:v>已确认</x:v>
      </x:c>
      <x:c r="J107" t="str">
        <x:v>非负</x:v>
      </x:c>
      <x:c r="K107" t="str">
        <x:v>—</x:v>
      </x:c>
      <x:c r="L107" t="str">
        <x:v>保留源表原始精度；不平均、不自动归一化</x:v>
      </x:c>
    </x:row>
    <x:row r="108">
      <x:c r="A108" t="n">
        <x:v>104</x:v>
      </x:c>
      <x:c r="B108" t="str">
        <x:v>recycled_cycle_observation</x:v>
      </x:c>
      <x:c r="C108" t="str">
        <x:v>kink_angle_deg</x:v>
      </x:c>
      <x:c r="D108" t="str">
        <x:v>扭结角</x:v>
      </x:c>
      <x:c r="E108" t="str">
        <x:v>NUMERIC(18,12)</x:v>
      </x:c>
      <x:c r="F108" t="str">
        <x:v>—</x:v>
      </x:c>
      <x:c r="G108" t="str">
        <x:v>否</x:v>
      </x:c>
      <x:c r="H108" t="str">
        <x:v>°</x:v>
      </x:c>
      <x:c r="I108" t="str">
        <x:v>已确认</x:v>
      </x:c>
      <x:c r="J108" t="str">
        <x:v>0至180</x:v>
      </x:c>
      <x:c r="K108" t="str">
        <x:v>—</x:v>
      </x:c>
      <x:c r="L108" t="str">
        <x:v>保留源表原始精度；不平均、不自动归一化</x:v>
      </x:c>
    </x:row>
    <x:row r="109">
      <x:c r="A109" t="n">
        <x:v>105</x:v>
      </x:c>
      <x:c r="B109" t="str">
        <x:v>recycled_cycle_observation</x:v>
      </x:c>
      <x:c r="C109" t="str">
        <x:v>kinked_fiber_pct</x:v>
      </x:c>
      <x:c r="D109" t="str">
        <x:v>扭结纤维占比</x:v>
      </x:c>
      <x:c r="E109" t="str">
        <x:v>NUMERIC(18,12)</x:v>
      </x:c>
      <x:c r="F109" t="str">
        <x:v>—</x:v>
      </x:c>
      <x:c r="G109" t="str">
        <x:v>否</x:v>
      </x:c>
      <x:c r="H109" t="str">
        <x:v>%</x:v>
      </x:c>
      <x:c r="I109" t="str">
        <x:v>已确认</x:v>
      </x:c>
      <x:c r="J109" t="str">
        <x:v>0至100</x:v>
      </x:c>
      <x:c r="K109" t="str">
        <x:v>—</x:v>
      </x:c>
      <x:c r="L109" t="str">
        <x:v>保留源表原始精度；不平均、不自动归一化</x:v>
      </x:c>
    </x:row>
    <x:row r="110">
      <x:c r="A110" t="n">
        <x:v>106</x:v>
      </x:c>
      <x:c r="B110" t="str">
        <x:v>recycled_cycle_observation</x:v>
      </x:c>
      <x:c r="C110" t="str">
        <x:v>curved_fiber_pct</x:v>
      </x:c>
      <x:c r="D110" t="str">
        <x:v>弯曲纤维占比</x:v>
      </x:c>
      <x:c r="E110" t="str">
        <x:v>NUMERIC(18,12)</x:v>
      </x:c>
      <x:c r="F110" t="str">
        <x:v>—</x:v>
      </x:c>
      <x:c r="G110" t="str">
        <x:v>否</x:v>
      </x:c>
      <x:c r="H110" t="str">
        <x:v>%</x:v>
      </x:c>
      <x:c r="I110" t="str">
        <x:v>已确认</x:v>
      </x:c>
      <x:c r="J110" t="str">
        <x:v>0至100</x:v>
      </x:c>
      <x:c r="K110" t="str">
        <x:v>—</x:v>
      </x:c>
      <x:c r="L110" t="str">
        <x:v>保留源表原始精度；不平均、不自动归一化</x:v>
      </x:c>
    </x:row>
    <x:row r="111">
      <x:c r="A111" t="n">
        <x:v>107</x:v>
      </x:c>
      <x:c r="B111" t="str">
        <x:v>recycled_cycle_observation</x:v>
      </x:c>
      <x:c r="C111" t="str">
        <x:v>fibrillation_length_pct</x:v>
      </x:c>
      <x:c r="D111" t="str">
        <x:v>分丝帚化长度比</x:v>
      </x:c>
      <x:c r="E111" t="str">
        <x:v>NUMERIC(18,12)</x:v>
      </x:c>
      <x:c r="F111" t="str">
        <x:v>—</x:v>
      </x:c>
      <x:c r="G111" t="str">
        <x:v>否</x:v>
      </x:c>
      <x:c r="H111" t="str">
        <x:v>%</x:v>
      </x:c>
      <x:c r="I111" t="str">
        <x:v>已确认</x:v>
      </x:c>
      <x:c r="J111" t="str">
        <x:v>0至100</x:v>
      </x:c>
      <x:c r="K111" t="str">
        <x:v>—</x:v>
      </x:c>
      <x:c r="L111" t="str">
        <x:v>保留源表原始精度；不平均、不自动归一化</x:v>
      </x:c>
    </x:row>
    <x:row r="112">
      <x:c r="A112" t="n">
        <x:v>108</x:v>
      </x:c>
      <x:c r="B112" t="str">
        <x:v>recycled_cycle_observation</x:v>
      </x:c>
      <x:c r="C112" t="str">
        <x:v>broken_fiber_pct</x:v>
      </x:c>
      <x:c r="D112" t="str">
        <x:v>折断纤维比</x:v>
      </x:c>
      <x:c r="E112" t="str">
        <x:v>NUMERIC(18,12)</x:v>
      </x:c>
      <x:c r="F112" t="str">
        <x:v>—</x:v>
      </x:c>
      <x:c r="G112" t="str">
        <x:v>否</x:v>
      </x:c>
      <x:c r="H112" t="str">
        <x:v>%</x:v>
      </x:c>
      <x:c r="I112" t="str">
        <x:v>已确认</x:v>
      </x:c>
      <x:c r="J112" t="str">
        <x:v>0至100</x:v>
      </x:c>
      <x:c r="K112" t="str">
        <x:v>—</x:v>
      </x:c>
      <x:c r="L112" t="str">
        <x:v>保留源表原始精度；不平均、不自动归一化</x:v>
      </x:c>
    </x:row>
    <x:row r="113">
      <x:c r="A113" t="n">
        <x:v>109</x:v>
      </x:c>
      <x:c r="B113" t="str">
        <x:v>recycled_cycle_observation</x:v>
      </x:c>
      <x:c r="C113" t="str">
        <x:v>fines_length_pct</x:v>
      </x:c>
      <x:c r="D113" t="str">
        <x:v>细小纤维长度比</x:v>
      </x:c>
      <x:c r="E113" t="str">
        <x:v>NUMERIC(18,12)</x:v>
      </x:c>
      <x:c r="F113" t="str">
        <x:v>—</x:v>
      </x:c>
      <x:c r="G113" t="str">
        <x:v>否</x:v>
      </x:c>
      <x:c r="H113" t="str">
        <x:v>%</x:v>
      </x:c>
      <x:c r="I113" t="str">
        <x:v>已确认</x:v>
      </x:c>
      <x:c r="J113" t="str">
        <x:v>0至100</x:v>
      </x:c>
      <x:c r="K113" t="str">
        <x:v>—</x:v>
      </x:c>
      <x:c r="L113" t="str">
        <x:v>保留源表原始精度；不平均、不自动归一化</x:v>
      </x:c>
    </x:row>
    <x:row r="114">
      <x:c r="A114" t="n">
        <x:v>110</x:v>
      </x:c>
      <x:c r="B114" t="str">
        <x:v>recycled_cycle_observation</x:v>
      </x:c>
      <x:c r="C114" t="str">
        <x:v>fines_weighted_length_pct</x:v>
      </x:c>
      <x:c r="D114" t="str">
        <x:v>细小纤维加权长度比</x:v>
      </x:c>
      <x:c r="E114" t="str">
        <x:v>NUMERIC(18,12)</x:v>
      </x:c>
      <x:c r="F114" t="str">
        <x:v>—</x:v>
      </x:c>
      <x:c r="G114" t="str">
        <x:v>否</x:v>
      </x:c>
      <x:c r="H114" t="str">
        <x:v>%</x:v>
      </x:c>
      <x:c r="I114" t="str">
        <x:v>已确认</x:v>
      </x:c>
      <x:c r="J114" t="str">
        <x:v>0至100</x:v>
      </x:c>
      <x:c r="K114" t="str">
        <x:v>—</x:v>
      </x:c>
      <x:c r="L114" t="str">
        <x:v>保留源表原始精度；不平均、不自动归一化</x:v>
      </x:c>
    </x:row>
    <x:row r="115">
      <x:c r="A115" t="n">
        <x:v>111</x:v>
      </x:c>
      <x:c r="B115" t="str">
        <x:v>recycled_cycle_observation</x:v>
      </x:c>
      <x:c r="C115" t="str">
        <x:v>fines_area_pct</x:v>
      </x:c>
      <x:c r="D115" t="str">
        <x:v>细小纤维面积比</x:v>
      </x:c>
      <x:c r="E115" t="str">
        <x:v>NUMERIC(18,12)</x:v>
      </x:c>
      <x:c r="F115" t="str">
        <x:v>—</x:v>
      </x:c>
      <x:c r="G115" t="str">
        <x:v>否</x:v>
      </x:c>
      <x:c r="H115" t="str">
        <x:v>%</x:v>
      </x:c>
      <x:c r="I115" t="str">
        <x:v>已确认</x:v>
      </x:c>
      <x:c r="J115" t="str">
        <x:v>0至100</x:v>
      </x:c>
      <x:c r="K115" t="str">
        <x:v>—</x:v>
      </x:c>
      <x:c r="L115" t="str">
        <x:v>保留源表原始精度；不平均、不自动归一化</x:v>
      </x:c>
    </x:row>
    <x:row r="116">
      <x:c r="A116" t="n">
        <x:v>112</x:v>
      </x:c>
      <x:c r="B116" t="str">
        <x:v>recycled_cycle_observation</x:v>
      </x:c>
      <x:c r="C116" t="str">
        <x:v>tensile_strength_kn_m</x:v>
      </x:c>
      <x:c r="D116" t="str">
        <x:v>抗张强度</x:v>
      </x:c>
      <x:c r="E116" t="str">
        <x:v>NUMERIC(18,12)</x:v>
      </x:c>
      <x:c r="F116" t="str">
        <x:v>—</x:v>
      </x:c>
      <x:c r="G116" t="str">
        <x:v>否</x:v>
      </x:c>
      <x:c r="H116" t="str">
        <x:v>kN/m</x:v>
      </x:c>
      <x:c r="I116" t="str">
        <x:v>已确认</x:v>
      </x:c>
      <x:c r="J116" t="str">
        <x:v>非负</x:v>
      </x:c>
      <x:c r="K116" t="str">
        <x:v>—</x:v>
      </x:c>
      <x:c r="L116" t="str">
        <x:v>保留源表原始精度；不平均、不自动归一化</x:v>
      </x:c>
    </x:row>
    <x:row r="117">
      <x:c r="A117" t="n">
        <x:v>113</x:v>
      </x:c>
      <x:c r="B117" t="str">
        <x:v>recycled_cycle_observation</x:v>
      </x:c>
      <x:c r="C117" t="str">
        <x:v>burst_strength_kpa</x:v>
      </x:c>
      <x:c r="D117" t="str">
        <x:v>耐破强度</x:v>
      </x:c>
      <x:c r="E117" t="str">
        <x:v>NUMERIC(18,12)</x:v>
      </x:c>
      <x:c r="F117" t="str">
        <x:v>—</x:v>
      </x:c>
      <x:c r="G117" t="str">
        <x:v>否</x:v>
      </x:c>
      <x:c r="H117" t="str">
        <x:v>kPa</x:v>
      </x:c>
      <x:c r="I117" t="str">
        <x:v>已确认</x:v>
      </x:c>
      <x:c r="J117" t="str">
        <x:v>非负</x:v>
      </x:c>
      <x:c r="K117" t="str">
        <x:v>—</x:v>
      </x:c>
      <x:c r="L117" t="str">
        <x:v>保留源表原始精度；不平均、不自动归一化</x:v>
      </x:c>
    </x:row>
    <x:row r="118">
      <x:c r="A118" t="n">
        <x:v>114</x:v>
      </x:c>
      <x:c r="B118" t="str">
        <x:v>recycled_cycle_observation</x:v>
      </x:c>
      <x:c r="C118" t="str">
        <x:v>tear_strength_mn</x:v>
      </x:c>
      <x:c r="D118" t="str">
        <x:v>撕裂强度</x:v>
      </x:c>
      <x:c r="E118" t="str">
        <x:v>NUMERIC(18,12)</x:v>
      </x:c>
      <x:c r="F118" t="str">
        <x:v>—</x:v>
      </x:c>
      <x:c r="G118" t="str">
        <x:v>否</x:v>
      </x:c>
      <x:c r="H118" t="str">
        <x:v>mN</x:v>
      </x:c>
      <x:c r="I118" t="str">
        <x:v>已确认</x:v>
      </x:c>
      <x:c r="J118" t="str">
        <x:v>非负</x:v>
      </x:c>
      <x:c r="K118" t="str">
        <x:v>—</x:v>
      </x:c>
      <x:c r="L118" t="str">
        <x:v>保留源表原始精度；不平均、不自动归一化</x:v>
      </x:c>
    </x:row>
  </x:sheetData>
  <x:mergeCells>
    <x:mergeCell ref="A1:L1"/>
    <x:mergeCell ref="A2:L2"/>
  </x:mergeCells>
  <x:conditionalFormatting sqref="I5:I60">
    <x:cfRule type="containsText" dxfId="2" priority="1" operator="containsText" text="待确认"/>
    <x:cfRule type="containsText" dxfId="3" priority="2" operator="containsText" text="设计暂定"/>
  </x:conditionalFormatting>
  <x:dataValidations count="2">
    <x:dataValidation type="list" sqref="G5:G60">
      <x:formula1>"是,否"</x:formula1>
    </x:dataValidation>
    <x:dataValidation type="list" sqref="I5:I60">
      <x:formula1>"已确认,设计暂定,待确认,不适用"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6886a7a1b74c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2" hidden="0" customWidth="1"/>
    <x:col min="3" max="3" width="10" hidden="0" customWidth="1"/>
    <x:col min="4" max="4" width="12" hidden="0" customWidth="1"/>
    <x:col min="5" max="5" width="11" hidden="0" customWidth="1"/>
    <x:col min="6" max="6" width="34" hidden="0" customWidth="1"/>
    <x:col min="7" max="7" width="22" hidden="0" customWidth="1"/>
    <x:col min="8" max="8" width="16" hidden="0" customWidth="1"/>
    <x:col min="9" max="9" width="25" hidden="0" customWidth="1"/>
    <x:col min="10" max="10" width="31" hidden="0" customWidth="1"/>
    <x:col min="11" max="11" width="50" hidden="0" customWidth="1"/>
    <x:col min="12" max="12" width="31" hidden="0" customWidth="1"/>
    <x:col min="13" max="13" width="38" hidden="0" customWidth="1"/>
    <x:col min="14" max="14" width="42" hidden="0" customWidth="1"/>
    <x:col min="15" max="15" width="11" hidden="0" customWidth="1"/>
    <x:col min="16" max="16" width="27" hidden="0" customWidth="1"/>
  </x:cols>
  <x:sheetData>
    <x:row r="1" ht="32" customHeight="1">
      <x:c r="A1" s="3" t="str">
        <x:v>植物纤维数据库｜Excel列到PostgreSQL字段入库映射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6" customHeight="1">
      <x:c r="A2" s="7" t="str">
        <x:v>共229条直接、派生、关联、校验和排除规则｜核心数据与再生纸浆数据分别预检并在事务中写入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0" customHeight="1">
      <x:c r="A4" s="21" t="str">
        <x:v>映射ID</x:v>
      </x:c>
      <x:c r="B4" s="21" t="str">
        <x:v>来源文件</x:v>
      </x:c>
      <x:c r="C4" s="21" t="str">
        <x:v>版本</x:v>
      </x:c>
      <x:c r="D4" s="21" t="str">
        <x:v>工作表</x:v>
      </x:c>
      <x:c r="E4" s="21" t="str">
        <x:v>原始列序号</x:v>
      </x:c>
      <x:c r="F4" s="21" t="str">
        <x:v>原始列名</x:v>
      </x:c>
      <x:c r="G4" s="21" t="str">
        <x:v>原始单位</x:v>
      </x:c>
      <x:c r="H4" s="21" t="str">
        <x:v>映射类别</x:v>
      </x:c>
      <x:c r="I4" s="21" t="str">
        <x:v>目标表</x:v>
      </x:c>
      <x:c r="J4" s="21" t="str">
        <x:v>目标字段</x:v>
      </x:c>
      <x:c r="K4" s="21" t="str">
        <x:v>转换或生成规则</x:v>
      </x:c>
      <x:c r="L4" s="21" t="str">
        <x:v>空值处理</x:v>
      </x:c>
      <x:c r="M4" s="21" t="str">
        <x:v>校验规则</x:v>
      </x:c>
      <x:c r="N4" s="21" t="str">
        <x:v>重复或冲突处理</x:v>
      </x:c>
      <x:c r="O4" s="21" t="str">
        <x:v>是否导入</x:v>
      </x:c>
      <x:c r="P4" s="21" t="str">
        <x:v>备注</x:v>
      </x:c>
    </x:row>
    <x:row r="5" ht="34" customHeight="1">
      <x:c r="A5" s="16" t="str">
        <x:v>M001</x:v>
      </x:c>
      <x:c r="B5" s="16" t="str">
        <x:v>针叶木-打浆转数-打浆度(1).xlsx</x:v>
      </x:c>
      <x:c r="C5" s="16" t="str">
        <x:v>原始版</x:v>
      </x:c>
      <x:c r="D5" s="16" t="str">
        <x:v>Sheet1</x:v>
      </x:c>
      <x:c r="E5" s="22" t="n">
        <x:v>0</x:v>
      </x:c>
      <x:c r="F5" s="16" t="str">
        <x:v>〈文件名〉</x:v>
      </x:c>
      <x:c r="G5" s="16" t="str">
        <x:v>—</x:v>
      </x:c>
      <x:c r="H5" s="16" t="str">
        <x:v>来源元数据</x:v>
      </x:c>
      <x:c r="I5" s="16" t="str">
        <x:v>data_source</x:v>
      </x:c>
      <x:c r="J5" s="16" t="str">
        <x:v>file_name</x:v>
      </x:c>
      <x:c r="K5" s="16" t="str">
        <x:v>写入当前原始文件名</x:v>
      </x:c>
      <x:c r="L5" s="16" t="str">
        <x:v>禁止为空</x:v>
      </x:c>
      <x:c r="M5" s="16" t="str">
        <x:v>必须在正式来源白名单中</x:v>
      </x:c>
      <x:c r="N5" s="16" t="str">
        <x:v>旧复配版或汇总文件立即终止该批</x:v>
      </x:c>
      <x:c r="O5" s="16" t="str">
        <x:v>是</x:v>
      </x:c>
      <x:c r="P5" s="16" t="str"/>
    </x:row>
    <x:row r="6" ht="34" customHeight="1">
      <x:c r="A6" s="16" t="str">
        <x:v>M002</x:v>
      </x:c>
      <x:c r="B6" s="16" t="str">
        <x:v>针叶木-打浆转数-打浆度(1).xlsx</x:v>
      </x:c>
      <x:c r="C6" s="16" t="str">
        <x:v>原始版</x:v>
      </x:c>
      <x:c r="D6" s="16" t="str">
        <x:v>Sheet1</x:v>
      </x:c>
      <x:c r="E6" s="22" t="n">
        <x:v>0</x:v>
      </x:c>
      <x:c r="F6" s="16" t="str">
        <x:v>〈工作表名〉</x:v>
      </x:c>
      <x:c r="G6" s="16" t="str">
        <x:v>—</x:v>
      </x:c>
      <x:c r="H6" s="16" t="str">
        <x:v>来源元数据</x:v>
      </x:c>
      <x:c r="I6" s="16" t="str">
        <x:v>data_source</x:v>
      </x:c>
      <x:c r="J6" s="16" t="str">
        <x:v>sheet_name</x:v>
      </x:c>
      <x:c r="K6" s="16" t="str">
        <x:v>固定写入Sheet1</x:v>
      </x:c>
      <x:c r="L6" s="16" t="str">
        <x:v>禁止为空</x:v>
      </x:c>
      <x:c r="M6" s="16" t="str">
        <x:v>仅允许有效工作表Sheet1</x:v>
      </x:c>
      <x:c r="N6" s="16" t="str">
        <x:v>空白Sheet2/Sheet3不处理</x:v>
      </x:c>
      <x:c r="O6" s="16" t="str">
        <x:v>是</x:v>
      </x:c>
      <x:c r="P6" s="16" t="str"/>
    </x:row>
    <x:row r="7" ht="34" customHeight="1">
      <x:c r="A7" s="16" t="str">
        <x:v>M003</x:v>
      </x:c>
      <x:c r="B7" s="16" t="str">
        <x:v>针叶木-打浆转数-打浆度(1).xlsx</x:v>
      </x:c>
      <x:c r="C7" s="16" t="str">
        <x:v>原始版</x:v>
      </x:c>
      <x:c r="D7" s="16" t="str">
        <x:v>Sheet1</x:v>
      </x:c>
      <x:c r="E7" s="22" t="n">
        <x:v>0</x:v>
      </x:c>
      <x:c r="F7" s="16" t="str">
        <x:v>〈Excel行号〉</x:v>
      </x:c>
      <x:c r="G7" s="16" t="str">
        <x:v>行</x:v>
      </x:c>
      <x:c r="H7" s="16" t="str">
        <x:v>系统生成</x:v>
      </x:c>
      <x:c r="I7" s="16" t="str">
        <x:v>data_source</x:v>
      </x:c>
      <x:c r="J7" s="16" t="str">
        <x:v>source_row</x:v>
      </x:c>
      <x:c r="K7" s="16" t="str">
        <x:v>写入原始数据所在Excel实际行号</x:v>
      </x:c>
      <x:c r="L7" s="16" t="str">
        <x:v>禁止为空</x:v>
      </x:c>
      <x:c r="M7" s="16" t="str">
        <x:v>&gt;=2且为整数</x:v>
      </x:c>
      <x:c r="N7" s="16" t="str">
        <x:v>同文件、工作表、行号不得重复</x:v>
      </x:c>
      <x:c r="O7" s="16" t="str">
        <x:v>是</x:v>
      </x:c>
      <x:c r="P7" s="16" t="str"/>
    </x:row>
    <x:row r="8" ht="34" customHeight="1">
      <x:c r="A8" s="16" t="str">
        <x:v>M004</x:v>
      </x:c>
      <x:c r="B8" s="16" t="str">
        <x:v>针叶木-打浆转数-打浆度(1).xlsx</x:v>
      </x:c>
      <x:c r="C8" s="16" t="str">
        <x:v>原始版</x:v>
      </x:c>
      <x:c r="D8" s="16" t="str">
        <x:v>Sheet1</x:v>
      </x:c>
      <x:c r="E8" s="22" t="n">
        <x:v>0</x:v>
      </x:c>
      <x:c r="F8" s="16" t="str">
        <x:v>〈来源版本〉</x:v>
      </x:c>
      <x:c r="G8" s="16" t="str">
        <x:v>—</x:v>
      </x:c>
      <x:c r="H8" s="16" t="str">
        <x:v>文件上下文</x:v>
      </x:c>
      <x:c r="I8" s="16" t="str">
        <x:v>data_source</x:v>
      </x:c>
      <x:c r="J8" s="16" t="str">
        <x:v>source_version</x:v>
      </x:c>
      <x:c r="K8" s="16" t="str">
        <x:v>固定写入原始版</x:v>
      </x:c>
      <x:c r="L8" s="16" t="str">
        <x:v>禁止为空</x:v>
      </x:c>
      <x:c r="M8" s="16" t="str">
        <x:v>复配文件必须为0110</x:v>
      </x:c>
      <x:c r="N8" s="16" t="str">
        <x:v>旧版不得覆盖0110</x:v>
      </x:c>
      <x:c r="O8" s="16" t="str">
        <x:v>是</x:v>
      </x:c>
      <x:c r="P8" s="16" t="str"/>
    </x:row>
    <x:row r="9" ht="34" customHeight="1">
      <x:c r="A9" s="16" t="str">
        <x:v>M005</x:v>
      </x:c>
      <x:c r="B9" s="16" t="str">
        <x:v>针叶木-打浆转数-打浆度(1).xlsx</x:v>
      </x:c>
      <x:c r="C9" s="16" t="str">
        <x:v>原始版</x:v>
      </x:c>
      <x:c r="D9" s="16" t="str">
        <x:v>Sheet1</x:v>
      </x:c>
      <x:c r="E9" s="22" t="n">
        <x:v>0</x:v>
      </x:c>
      <x:c r="F9" s="16" t="str">
        <x:v>〈导入时间〉</x:v>
      </x:c>
      <x:c r="G9" s="16" t="str">
        <x:v>—</x:v>
      </x:c>
      <x:c r="H9" s="16" t="str">
        <x:v>系统生成</x:v>
      </x:c>
      <x:c r="I9" s="16" t="str">
        <x:v>data_source</x:v>
      </x:c>
      <x:c r="J9" s="16" t="str">
        <x:v>imported_at</x:v>
      </x:c>
      <x:c r="K9" s="16" t="str">
        <x:v>由PostgreSQL CURRENT_TIMESTAMP生成</x:v>
      </x:c>
      <x:c r="L9" s="16" t="str">
        <x:v>禁止为空</x:v>
      </x:c>
      <x:c r="M9" s="16" t="str">
        <x:v>TIMESTAMPTZ有效值</x:v>
      </x:c>
      <x:c r="N9" s="16" t="str">
        <x:v>不从Excel读取</x:v>
      </x:c>
      <x:c r="O9" s="16" t="str">
        <x:v>是</x:v>
      </x:c>
      <x:c r="P9" s="16" t="str"/>
    </x:row>
    <x:row r="10" ht="34" customHeight="1">
      <x:c r="A10" s="16" t="str">
        <x:v>M006</x:v>
      </x:c>
      <x:c r="B10" s="16" t="str">
        <x:v>针叶木-打浆转数-打浆度(1).xlsx</x:v>
      </x:c>
      <x:c r="C10" s="16" t="str">
        <x:v>原始版</x:v>
      </x:c>
      <x:c r="D10" s="16" t="str">
        <x:v>Sheet1</x:v>
      </x:c>
      <x:c r="E10" s="22" t="n">
        <x:v>1</x:v>
      </x:c>
      <x:c r="F10" s="16" t="str">
        <x:v>序号</x:v>
      </x:c>
      <x:c r="G10" s="16" t="str">
        <x:v>—</x:v>
      </x:c>
      <x:c r="H10" s="16" t="str">
        <x:v>直接/生成</x:v>
      </x:c>
      <x:c r="I10" s="16" t="str">
        <x:v>experiment_sample</x:v>
      </x:c>
      <x:c r="J10" s="16" t="str">
        <x:v>display_code</x:v>
      </x:c>
      <x:c r="K10" s="16" t="str">
        <x:v>转为文本作为实验内编号</x:v>
      </x:c>
      <x:c r="L10" s="16" t="str">
        <x:v>禁止为空</x:v>
      </x:c>
      <x:c r="M10" s="16" t="str">
        <x:v>正整数且实验内唯一</x:v>
      </x:c>
      <x:c r="N10" s="16" t="str">
        <x:v>打浆度文件为展示点权威来源</x:v>
      </x:c>
      <x:c r="O10" s="16" t="str">
        <x:v>是</x:v>
      </x:c>
      <x:c r="P10" s="16" t="str"/>
    </x:row>
    <x:row r="11" ht="34" customHeight="1">
      <x:c r="A11" s="16" t="str">
        <x:v>M007</x:v>
      </x:c>
      <x:c r="B11" s="16" t="str">
        <x:v>针叶木-打浆转数-打浆度(1).xlsx</x:v>
      </x:c>
      <x:c r="C11" s="16" t="str">
        <x:v>原始版</x:v>
      </x:c>
      <x:c r="D11" s="16" t="str">
        <x:v>Sheet1</x:v>
      </x:c>
      <x:c r="E11" s="22" t="n">
        <x:v>1</x:v>
      </x:c>
      <x:c r="F11" s="16" t="str">
        <x:v>序号</x:v>
      </x:c>
      <x:c r="G11" s="16" t="str">
        <x:v>—</x:v>
      </x:c>
      <x:c r="H11" s="16" t="str">
        <x:v>直接</x:v>
      </x:c>
      <x:c r="I11" s="16" t="str">
        <x:v>experiment_sample</x:v>
      </x:c>
      <x:c r="J11" s="16" t="str">
        <x:v>display_order</x:v>
      </x:c>
      <x:c r="K11" s="16" t="str">
        <x:v>转为整数</x:v>
      </x:c>
      <x:c r="L11" s="16" t="str">
        <x:v>禁止为空</x:v>
      </x:c>
      <x:c r="M11" s="16" t="str">
        <x:v>&gt;0且连续递增</x:v>
      </x:c>
      <x:c r="N11" s="16" t="str">
        <x:v>与display_code顺序一致</x:v>
      </x:c>
      <x:c r="O11" s="16" t="str">
        <x:v>是</x:v>
      </x:c>
      <x:c r="P11" s="16" t="str"/>
    </x:row>
    <x:row r="12" ht="34" customHeight="1">
      <x:c r="A12" s="16" t="str">
        <x:v>M008</x:v>
      </x:c>
      <x:c r="B12" s="16" t="str">
        <x:v>针叶木-打浆转数-打浆度(1).xlsx</x:v>
      </x:c>
      <x:c r="C12" s="16" t="str">
        <x:v>原始版</x:v>
      </x:c>
      <x:c r="D12" s="16" t="str">
        <x:v>Sheet1</x:v>
      </x:c>
      <x:c r="E12" s="22" t="n">
        <x:v>2</x:v>
      </x:c>
      <x:c r="F12" s="16" t="str">
        <x:v>打浆转数</x:v>
      </x:c>
      <x:c r="G12" s="16" t="str">
        <x:v>r</x:v>
      </x:c>
      <x:c r="H12" s="16" t="str">
        <x:v>直接</x:v>
      </x:c>
      <x:c r="I12" s="16" t="str">
        <x:v>sample_component</x:v>
      </x:c>
      <x:c r="J12" s="16" t="str">
        <x:v>beating_revolutions</x:v>
      </x:c>
      <x:c r="K12" s="16" t="str">
        <x:v>转为整数</x:v>
      </x:c>
      <x:c r="L12" s="16" t="str">
        <x:v>禁止为空</x:v>
      </x:c>
      <x:c r="M12" s="16" t="str">
        <x:v>&gt;=0</x:v>
      </x:c>
      <x:c r="N12" s="16" t="str">
        <x:v>同材种同转数只能定位一个样本</x:v>
      </x:c>
      <x:c r="O12" s="16" t="str">
        <x:v>是</x:v>
      </x:c>
      <x:c r="P12" s="16" t="str"/>
    </x:row>
    <x:row r="13" ht="34" customHeight="1">
      <x:c r="A13" s="16" t="str">
        <x:v>M009</x:v>
      </x:c>
      <x:c r="B13" s="16" t="str">
        <x:v>针叶木-打浆转数-打浆度(1).xlsx</x:v>
      </x:c>
      <x:c r="C13" s="16" t="str">
        <x:v>原始版</x:v>
      </x:c>
      <x:c r="D13" s="16" t="str">
        <x:v>Sheet1</x:v>
      </x:c>
      <x:c r="E13" s="22" t="n">
        <x:v>3</x:v>
      </x:c>
      <x:c r="F13" s="16" t="str">
        <x:v>打浆度</x:v>
      </x:c>
      <x:c r="G13" s="16" t="str">
        <x:v>°SR</x:v>
      </x:c>
      <x:c r="H13" s="16" t="str">
        <x:v>直接</x:v>
      </x:c>
      <x:c r="I13" s="16" t="str">
        <x:v>sample_component</x:v>
      </x:c>
      <x:c r="J13" s="16" t="str">
        <x:v>beating_degree_sr</x:v>
      </x:c>
      <x:c r="K13" s="16" t="str">
        <x:v>转为NUMERIC(5,1)</x:v>
      </x:c>
      <x:c r="L13" s="16" t="str">
        <x:v>禁止为空</x:v>
      </x:c>
      <x:c r="M13" s="16" t="str">
        <x:v>&gt;=0</x:v>
      </x:c>
      <x:c r="N13" s="16" t="str">
        <x:v>打浆度文件为权威值</x:v>
      </x:c>
      <x:c r="O13" s="16" t="str">
        <x:v>是</x:v>
      </x:c>
      <x:c r="P13" s="16" t="str"/>
    </x:row>
    <x:row r="14" ht="34" customHeight="1">
      <x:c r="A14" s="16" t="str">
        <x:v>M010</x:v>
      </x:c>
      <x:c r="B14" s="16" t="str">
        <x:v>针叶木-打浆转数-打浆度(1).xlsx</x:v>
      </x:c>
      <x:c r="C14" s="16" t="str">
        <x:v>原始版</x:v>
      </x:c>
      <x:c r="D14" s="16" t="str">
        <x:v>Sheet1</x:v>
      </x:c>
      <x:c r="E14" s="22" t="n">
        <x:v>0</x:v>
      </x:c>
      <x:c r="F14" s="16" t="str">
        <x:v>〈材种+打浆转数〉</x:v>
      </x:c>
      <x:c r="G14" s="16" t="str">
        <x:v>—</x:v>
      </x:c>
      <x:c r="H14" s="16" t="str">
        <x:v>派生</x:v>
      </x:c>
      <x:c r="I14" s="16" t="str">
        <x:v>sample</x:v>
      </x:c>
      <x:c r="J14" s="16" t="str">
        <x:v>canonical_code</x:v>
      </x:c>
      <x:c r="K14" s="16" t="str">
        <x:v>生成SW_R{转数5位补零}</x:v>
      </x:c>
      <x:c r="L14" s="16" t="str">
        <x:v>禁止为空</x:v>
      </x:c>
      <x:c r="M14" s="16" t="str">
        <x:v>全库唯一</x:v>
      </x:c>
      <x:c r="N14" s="16" t="str">
        <x:v>已存在则复用，不新建重复样本</x:v>
      </x:c>
      <x:c r="O14" s="16" t="str">
        <x:v>是</x:v>
      </x:c>
      <x:c r="P14" s="16" t="str"/>
    </x:row>
    <x:row r="15" ht="34" customHeight="1">
      <x:c r="A15" s="16" t="str">
        <x:v>M011</x:v>
      </x:c>
      <x:c r="B15" s="16" t="str">
        <x:v>针叶木-打浆转数-打浆度(1).xlsx</x:v>
      </x:c>
      <x:c r="C15" s="16" t="str">
        <x:v>原始版</x:v>
      </x:c>
      <x:c r="D15" s="16" t="str">
        <x:v>Sheet1</x:v>
      </x:c>
      <x:c r="E15" s="22" t="n">
        <x:v>0</x:v>
      </x:c>
      <x:c r="F15" s="16" t="str">
        <x:v>〈材种上下文〉</x:v>
      </x:c>
      <x:c r="G15" s="16" t="str">
        <x:v>—</x:v>
      </x:c>
      <x:c r="H15" s="16" t="str">
        <x:v>常量</x:v>
      </x:c>
      <x:c r="I15" s="16" t="str">
        <x:v>sample</x:v>
      </x:c>
      <x:c r="J15" s="16" t="str">
        <x:v>sample_type</x:v>
      </x:c>
      <x:c r="K15" s="16" t="str">
        <x:v>固定写入softwood</x:v>
      </x:c>
      <x:c r="L15" s="16" t="str">
        <x:v>禁止为空</x:v>
      </x:c>
      <x:c r="M15" s="16" t="str">
        <x:v>枚举值合法</x:v>
      </x:c>
      <x:c r="N15" s="16" t="str">
        <x:v>不得由文件名以外信息覆盖</x:v>
      </x:c>
      <x:c r="O15" s="16" t="str">
        <x:v>是</x:v>
      </x:c>
      <x:c r="P15" s="16" t="str"/>
    </x:row>
    <x:row r="16" ht="34" customHeight="1">
      <x:c r="A16" s="16" t="str">
        <x:v>M012</x:v>
      </x:c>
      <x:c r="B16" s="16" t="str">
        <x:v>针叶木-打浆转数-打浆度(1).xlsx</x:v>
      </x:c>
      <x:c r="C16" s="16" t="str">
        <x:v>原始版</x:v>
      </x:c>
      <x:c r="D16" s="16" t="str">
        <x:v>Sheet1</x:v>
      </x:c>
      <x:c r="E16" s="22" t="n">
        <x:v>0</x:v>
      </x:c>
      <x:c r="F16" s="16" t="str">
        <x:v>〈材种+打浆转数〉</x:v>
      </x:c>
      <x:c r="G16" s="16" t="str">
        <x:v>—</x:v>
      </x:c>
      <x:c r="H16" s="16" t="str">
        <x:v>派生</x:v>
      </x:c>
      <x:c r="I16" s="16" t="str">
        <x:v>sample</x:v>
      </x:c>
      <x:c r="J16" s="16" t="str">
        <x:v>display_name</x:v>
      </x:c>
      <x:c r="K16" s="16" t="str">
        <x:v>生成针叶木浆-{转数}r</x:v>
      </x:c>
      <x:c r="L16" s="16" t="str">
        <x:v>禁止为空</x:v>
      </x:c>
      <x:c r="M16" s="16" t="str">
        <x:v>长度不超过100字符</x:v>
      </x:c>
      <x:c r="N16" s="16" t="str">
        <x:v>同canonical_code更新显示名需人工确认</x:v>
      </x:c>
      <x:c r="O16" s="16" t="str">
        <x:v>是</x:v>
      </x:c>
      <x:c r="P16" s="16" t="str"/>
    </x:row>
    <x:row r="17" ht="34" customHeight="1">
      <x:c r="A17" s="16" t="str">
        <x:v>M013</x:v>
      </x:c>
      <x:c r="B17" s="16" t="str">
        <x:v>针叶木-打浆转数-打浆度(1).xlsx</x:v>
      </x:c>
      <x:c r="C17" s="16" t="str">
        <x:v>原始版</x:v>
      </x:c>
      <x:c r="D17" s="16" t="str">
        <x:v>Sheet1</x:v>
      </x:c>
      <x:c r="E17" s="22" t="n">
        <x:v>0</x:v>
      </x:c>
      <x:c r="F17" s="16" t="str">
        <x:v>〈实验上下文〉</x:v>
      </x:c>
      <x:c r="G17" s="16" t="str">
        <x:v>—</x:v>
      </x:c>
      <x:c r="H17" s="16" t="str">
        <x:v>常量/查找</x:v>
      </x:c>
      <x:c r="I17" s="16" t="str">
        <x:v>experiment_sample</x:v>
      </x:c>
      <x:c r="J17" s="16" t="str">
        <x:v>experiment_id</x:v>
      </x:c>
      <x:c r="K17" s="16" t="str">
        <x:v>按experiment_code=SW_BEATING查找</x:v>
      </x:c>
      <x:c r="L17" s="16" t="str">
        <x:v>禁止为空</x:v>
      </x:c>
      <x:c r="M17" s="16" t="str">
        <x:v>必须命中一个实验</x:v>
      </x:c>
      <x:c r="N17" s="16" t="str">
        <x:v>禁止自动创建未知实验</x:v>
      </x:c>
      <x:c r="O17" s="16" t="str">
        <x:v>是</x:v>
      </x:c>
      <x:c r="P17" s="16" t="str"/>
    </x:row>
    <x:row r="18" ht="34" customHeight="1">
      <x:c r="A18" s="16" t="str">
        <x:v>M014</x:v>
      </x:c>
      <x:c r="B18" s="16" t="str">
        <x:v>针叶木-打浆转数-打浆度(1).xlsx</x:v>
      </x:c>
      <x:c r="C18" s="16" t="str">
        <x:v>原始版</x:v>
      </x:c>
      <x:c r="D18" s="16" t="str">
        <x:v>Sheet1</x:v>
      </x:c>
      <x:c r="E18" s="22" t="n">
        <x:v>0</x:v>
      </x:c>
      <x:c r="F18" s="16" t="str">
        <x:v>〈标准样本代码〉</x:v>
      </x:c>
      <x:c r="G18" s="16" t="str">
        <x:v>—</x:v>
      </x:c>
      <x:c r="H18" s="16" t="str">
        <x:v>查找</x:v>
      </x:c>
      <x:c r="I18" s="16" t="str">
        <x:v>experiment_sample</x:v>
      </x:c>
      <x:c r="J18" s="16" t="str">
        <x:v>sample_id</x:v>
      </x:c>
      <x:c r="K18" s="16" t="str">
        <x:v>按canonical_code查找或创建后取得sample_id</x:v>
      </x:c>
      <x:c r="L18" s="16" t="str">
        <x:v>禁止为空</x:v>
      </x:c>
      <x:c r="M18" s="16" t="str">
        <x:v>必须命中一个样本</x:v>
      </x:c>
      <x:c r="N18" s="16" t="str">
        <x:v>失败则整批回滚</x:v>
      </x:c>
      <x:c r="O18" s="16" t="str">
        <x:v>是</x:v>
      </x:c>
      <x:c r="P18" s="16" t="str"/>
    </x:row>
    <x:row r="19" ht="34" customHeight="1">
      <x:c r="A19" s="16" t="str">
        <x:v>M015</x:v>
      </x:c>
      <x:c r="B19" s="16" t="str">
        <x:v>针叶木-打浆转数-打浆度(1).xlsx</x:v>
      </x:c>
      <x:c r="C19" s="16" t="str">
        <x:v>原始版</x:v>
      </x:c>
      <x:c r="D19" s="16" t="str">
        <x:v>Sheet1</x:v>
      </x:c>
      <x:c r="E19" s="22" t="n">
        <x:v>0</x:v>
      </x:c>
      <x:c r="F19" s="16" t="str">
        <x:v>〈当前来源行〉</x:v>
      </x:c>
      <x:c r="G19" s="16" t="str">
        <x:v>—</x:v>
      </x:c>
      <x:c r="H19" s="16" t="str">
        <x:v>关联</x:v>
      </x:c>
      <x:c r="I19" s="16" t="str">
        <x:v>experiment_sample</x:v>
      </x:c>
      <x:c r="J19" s="16" t="str">
        <x:v>source_id</x:v>
      </x:c>
      <x:c r="K19" s="16" t="str">
        <x:v>引用本行data_source.source_id</x:v>
      </x:c>
      <x:c r="L19" s="16" t="str">
        <x:v>禁止为空</x:v>
      </x:c>
      <x:c r="M19" s="16" t="str">
        <x:v>外键有效</x:v>
      </x:c>
      <x:c r="N19" s="16" t="str">
        <x:v>缺失来源不得入库</x:v>
      </x:c>
      <x:c r="O19" s="16" t="str">
        <x:v>是</x:v>
      </x:c>
      <x:c r="P19" s="16" t="str"/>
    </x:row>
    <x:row r="20" ht="34" customHeight="1">
      <x:c r="A20" s="16" t="str">
        <x:v>M016</x:v>
      </x:c>
      <x:c r="B20" s="16" t="str">
        <x:v>针叶木-打浆转数-打浆度(1).xlsx</x:v>
      </x:c>
      <x:c r="C20" s="16" t="str">
        <x:v>原始版</x:v>
      </x:c>
      <x:c r="D20" s="16" t="str">
        <x:v>Sheet1</x:v>
      </x:c>
      <x:c r="E20" s="22" t="n">
        <x:v>0</x:v>
      </x:c>
      <x:c r="F20" s="16" t="str">
        <x:v>〈标准样本代码〉</x:v>
      </x:c>
      <x:c r="G20" s="16" t="str">
        <x:v>—</x:v>
      </x:c>
      <x:c r="H20" s="16" t="str">
        <x:v>查找</x:v>
      </x:c>
      <x:c r="I20" s="16" t="str">
        <x:v>sample_component</x:v>
      </x:c>
      <x:c r="J20" s="16" t="str">
        <x:v>sample_id</x:v>
      </x:c>
      <x:c r="K20" s="16" t="str">
        <x:v>引用本行对应sample.sample_id</x:v>
      </x:c>
      <x:c r="L20" s="16" t="str">
        <x:v>禁止为空</x:v>
      </x:c>
      <x:c r="M20" s="16" t="str">
        <x:v>外键有效</x:v>
      </x:c>
      <x:c r="N20" s="16" t="str">
        <x:v>失败则整批回滚</x:v>
      </x:c>
      <x:c r="O20" s="16" t="str">
        <x:v>是</x:v>
      </x:c>
      <x:c r="P20" s="16" t="str"/>
    </x:row>
    <x:row r="21" ht="34" customHeight="1">
      <x:c r="A21" s="16" t="str">
        <x:v>M017</x:v>
      </x:c>
      <x:c r="B21" s="16" t="str">
        <x:v>针叶木-打浆转数-打浆度(1).xlsx</x:v>
      </x:c>
      <x:c r="C21" s="16" t="str">
        <x:v>原始版</x:v>
      </x:c>
      <x:c r="D21" s="16" t="str">
        <x:v>Sheet1</x:v>
      </x:c>
      <x:c r="E21" s="22" t="n">
        <x:v>0</x:v>
      </x:c>
      <x:c r="F21" s="16" t="str">
        <x:v>〈材种上下文〉</x:v>
      </x:c>
      <x:c r="G21" s="16" t="str">
        <x:v>—</x:v>
      </x:c>
      <x:c r="H21" s="16" t="str">
        <x:v>查找</x:v>
      </x:c>
      <x:c r="I21" s="16" t="str">
        <x:v>sample_component</x:v>
      </x:c>
      <x:c r="J21" s="16" t="str">
        <x:v>material_id</x:v>
      </x:c>
      <x:c r="K21" s="16" t="str">
        <x:v>按material_code=SW查找</x:v>
      </x:c>
      <x:c r="L21" s="16" t="str">
        <x:v>禁止为空</x:v>
      </x:c>
      <x:c r="M21" s="16" t="str">
        <x:v>必须命中SW或HW</x:v>
      </x:c>
      <x:c r="N21" s="16" t="str">
        <x:v>禁止自动创建未知原料</x:v>
      </x:c>
      <x:c r="O21" s="16" t="str">
        <x:v>是</x:v>
      </x:c>
      <x:c r="P21" s="16" t="str"/>
    </x:row>
    <x:row r="22" ht="34" customHeight="1">
      <x:c r="A22" s="16" t="str">
        <x:v>M018</x:v>
      </x:c>
      <x:c r="B22" s="16" t="str">
        <x:v>针叶木-打浆转数-打浆度(1).xlsx</x:v>
      </x:c>
      <x:c r="C22" s="16" t="str">
        <x:v>原始版</x:v>
      </x:c>
      <x:c r="D22" s="16" t="str">
        <x:v>Sheet1</x:v>
      </x:c>
      <x:c r="E22" s="22" t="n">
        <x:v>0</x:v>
      </x:c>
      <x:c r="F22" s="16" t="str">
        <x:v>〈纯浆常量〉</x:v>
      </x:c>
      <x:c r="G22" s="16" t="str">
        <x:v>%</x:v>
      </x:c>
      <x:c r="H22" s="16" t="str">
        <x:v>常量</x:v>
      </x:c>
      <x:c r="I22" s="16" t="str">
        <x:v>sample_component</x:v>
      </x:c>
      <x:c r="J22" s="16" t="str">
        <x:v>proportion_pct</x:v>
      </x:c>
      <x:c r="K22" s="16" t="str">
        <x:v>固定写入100</x:v>
      </x:c>
      <x:c r="L22" s="16" t="str">
        <x:v>禁止为空</x:v>
      </x:c>
      <x:c r="M22" s="16" t="str">
        <x:v>等于100</x:v>
      </x:c>
      <x:c r="N22" s="16" t="str">
        <x:v>纯浆不得写入第二组分</x:v>
      </x:c>
      <x:c r="O22" s="16" t="str">
        <x:v>是</x:v>
      </x:c>
      <x:c r="P22" s="16" t="str"/>
    </x:row>
    <x:row r="23" ht="34" customHeight="1">
      <x:c r="A23" s="16" t="str">
        <x:v>M019</x:v>
      </x:c>
      <x:c r="B23" s="16" t="str">
        <x:v>针叶木-打浆转数-打浆度(1).xlsx</x:v>
      </x:c>
      <x:c r="C23" s="16" t="str">
        <x:v>原始版</x:v>
      </x:c>
      <x:c r="D23" s="16" t="str">
        <x:v>Sheet1</x:v>
      </x:c>
      <x:c r="E23" s="22" t="n">
        <x:v>0</x:v>
      </x:c>
      <x:c r="F23" s="16" t="str">
        <x:v>〈当前来源行〉</x:v>
      </x:c>
      <x:c r="G23" s="16" t="str">
        <x:v>—</x:v>
      </x:c>
      <x:c r="H23" s="16" t="str">
        <x:v>关联</x:v>
      </x:c>
      <x:c r="I23" s="16" t="str">
        <x:v>sample_component</x:v>
      </x:c>
      <x:c r="J23" s="16" t="str">
        <x:v>source_id</x:v>
      </x:c>
      <x:c r="K23" s="16" t="str">
        <x:v>引用本行data_source.source_id</x:v>
      </x:c>
      <x:c r="L23" s="16" t="str">
        <x:v>禁止为空</x:v>
      </x:c>
      <x:c r="M23" s="16" t="str">
        <x:v>外键有效</x:v>
      </x:c>
      <x:c r="N23" s="16" t="str">
        <x:v>缺失来源不得入库</x:v>
      </x:c>
      <x:c r="O23" s="16" t="str">
        <x:v>是</x:v>
      </x:c>
      <x:c r="P23" s="16" t="str"/>
    </x:row>
    <x:row r="24" ht="34" customHeight="1">
      <x:c r="A24" s="16" t="str">
        <x:v>M020</x:v>
      </x:c>
      <x:c r="B24" s="16" t="str">
        <x:v>针叶木-打浆转数-纤维特性(1).xlsx</x:v>
      </x:c>
      <x:c r="C24" s="16" t="str">
        <x:v>原始版</x:v>
      </x:c>
      <x:c r="D24" s="16" t="str">
        <x:v>Sheet1</x:v>
      </x:c>
      <x:c r="E24" s="22" t="n">
        <x:v>0</x:v>
      </x:c>
      <x:c r="F24" s="16" t="str">
        <x:v>〈文件名〉</x:v>
      </x:c>
      <x:c r="G24" s="16" t="str">
        <x:v>—</x:v>
      </x:c>
      <x:c r="H24" s="16" t="str">
        <x:v>来源元数据</x:v>
      </x:c>
      <x:c r="I24" s="16" t="str">
        <x:v>data_source</x:v>
      </x:c>
      <x:c r="J24" s="16" t="str">
        <x:v>file_name</x:v>
      </x:c>
      <x:c r="K24" s="16" t="str">
        <x:v>写入当前原始文件名</x:v>
      </x:c>
      <x:c r="L24" s="16" t="str">
        <x:v>禁止为空</x:v>
      </x:c>
      <x:c r="M24" s="16" t="str">
        <x:v>必须在正式来源白名单中</x:v>
      </x:c>
      <x:c r="N24" s="16" t="str">
        <x:v>旧复配版或汇总文件立即终止该批</x:v>
      </x:c>
      <x:c r="O24" s="16" t="str">
        <x:v>是</x:v>
      </x:c>
      <x:c r="P24" s="16" t="str"/>
    </x:row>
    <x:row r="25" ht="34" customHeight="1">
      <x:c r="A25" s="16" t="str">
        <x:v>M021</x:v>
      </x:c>
      <x:c r="B25" s="16" t="str">
        <x:v>针叶木-打浆转数-纤维特性(1).xlsx</x:v>
      </x:c>
      <x:c r="C25" s="16" t="str">
        <x:v>原始版</x:v>
      </x:c>
      <x:c r="D25" s="16" t="str">
        <x:v>Sheet1</x:v>
      </x:c>
      <x:c r="E25" s="22" t="n">
        <x:v>0</x:v>
      </x:c>
      <x:c r="F25" s="16" t="str">
        <x:v>〈工作表名〉</x:v>
      </x:c>
      <x:c r="G25" s="16" t="str">
        <x:v>—</x:v>
      </x:c>
      <x:c r="H25" s="16" t="str">
        <x:v>来源元数据</x:v>
      </x:c>
      <x:c r="I25" s="16" t="str">
        <x:v>data_source</x:v>
      </x:c>
      <x:c r="J25" s="16" t="str">
        <x:v>sheet_name</x:v>
      </x:c>
      <x:c r="K25" s="16" t="str">
        <x:v>固定写入Sheet1</x:v>
      </x:c>
      <x:c r="L25" s="16" t="str">
        <x:v>禁止为空</x:v>
      </x:c>
      <x:c r="M25" s="16" t="str">
        <x:v>仅允许有效工作表Sheet1</x:v>
      </x:c>
      <x:c r="N25" s="16" t="str">
        <x:v>空白Sheet2/Sheet3不处理</x:v>
      </x:c>
      <x:c r="O25" s="16" t="str">
        <x:v>是</x:v>
      </x:c>
      <x:c r="P25" s="16" t="str"/>
    </x:row>
    <x:row r="26" ht="34" customHeight="1">
      <x:c r="A26" s="16" t="str">
        <x:v>M022</x:v>
      </x:c>
      <x:c r="B26" s="16" t="str">
        <x:v>针叶木-打浆转数-纤维特性(1).xlsx</x:v>
      </x:c>
      <x:c r="C26" s="16" t="str">
        <x:v>原始版</x:v>
      </x:c>
      <x:c r="D26" s="16" t="str">
        <x:v>Sheet1</x:v>
      </x:c>
      <x:c r="E26" s="22" t="n">
        <x:v>0</x:v>
      </x:c>
      <x:c r="F26" s="16" t="str">
        <x:v>〈Excel行号〉</x:v>
      </x:c>
      <x:c r="G26" s="16" t="str">
        <x:v>行</x:v>
      </x:c>
      <x:c r="H26" s="16" t="str">
        <x:v>系统生成</x:v>
      </x:c>
      <x:c r="I26" s="16" t="str">
        <x:v>data_source</x:v>
      </x:c>
      <x:c r="J26" s="16" t="str">
        <x:v>source_row</x:v>
      </x:c>
      <x:c r="K26" s="16" t="str">
        <x:v>写入原始数据所在Excel实际行号</x:v>
      </x:c>
      <x:c r="L26" s="16" t="str">
        <x:v>禁止为空</x:v>
      </x:c>
      <x:c r="M26" s="16" t="str">
        <x:v>&gt;=2且为整数</x:v>
      </x:c>
      <x:c r="N26" s="16" t="str">
        <x:v>同文件、工作表、行号不得重复</x:v>
      </x:c>
      <x:c r="O26" s="16" t="str">
        <x:v>是</x:v>
      </x:c>
      <x:c r="P26" s="16" t="str"/>
    </x:row>
    <x:row r="27" ht="34" customHeight="1">
      <x:c r="A27" s="16" t="str">
        <x:v>M023</x:v>
      </x:c>
      <x:c r="B27" s="16" t="str">
        <x:v>针叶木-打浆转数-纤维特性(1).xlsx</x:v>
      </x:c>
      <x:c r="C27" s="16" t="str">
        <x:v>原始版</x:v>
      </x:c>
      <x:c r="D27" s="16" t="str">
        <x:v>Sheet1</x:v>
      </x:c>
      <x:c r="E27" s="22" t="n">
        <x:v>0</x:v>
      </x:c>
      <x:c r="F27" s="16" t="str">
        <x:v>〈来源版本〉</x:v>
      </x:c>
      <x:c r="G27" s="16" t="str">
        <x:v>—</x:v>
      </x:c>
      <x:c r="H27" s="16" t="str">
        <x:v>文件上下文</x:v>
      </x:c>
      <x:c r="I27" s="16" t="str">
        <x:v>data_source</x:v>
      </x:c>
      <x:c r="J27" s="16" t="str">
        <x:v>source_version</x:v>
      </x:c>
      <x:c r="K27" s="16" t="str">
        <x:v>固定写入原始版</x:v>
      </x:c>
      <x:c r="L27" s="16" t="str">
        <x:v>禁止为空</x:v>
      </x:c>
      <x:c r="M27" s="16" t="str">
        <x:v>复配文件必须为0110</x:v>
      </x:c>
      <x:c r="N27" s="16" t="str">
        <x:v>旧版不得覆盖0110</x:v>
      </x:c>
      <x:c r="O27" s="16" t="str">
        <x:v>是</x:v>
      </x:c>
      <x:c r="P27" s="16" t="str"/>
    </x:row>
    <x:row r="28" ht="34" customHeight="1">
      <x:c r="A28" s="16" t="str">
        <x:v>M024</x:v>
      </x:c>
      <x:c r="B28" s="16" t="str">
        <x:v>针叶木-打浆转数-纤维特性(1).xlsx</x:v>
      </x:c>
      <x:c r="C28" s="16" t="str">
        <x:v>原始版</x:v>
      </x:c>
      <x:c r="D28" s="16" t="str">
        <x:v>Sheet1</x:v>
      </x:c>
      <x:c r="E28" s="22" t="n">
        <x:v>0</x:v>
      </x:c>
      <x:c r="F28" s="16" t="str">
        <x:v>〈导入时间〉</x:v>
      </x:c>
      <x:c r="G28" s="16" t="str">
        <x:v>—</x:v>
      </x:c>
      <x:c r="H28" s="16" t="str">
        <x:v>系统生成</x:v>
      </x:c>
      <x:c r="I28" s="16" t="str">
        <x:v>data_source</x:v>
      </x:c>
      <x:c r="J28" s="16" t="str">
        <x:v>imported_at</x:v>
      </x:c>
      <x:c r="K28" s="16" t="str">
        <x:v>由PostgreSQL CURRENT_TIMESTAMP生成</x:v>
      </x:c>
      <x:c r="L28" s="16" t="str">
        <x:v>禁止为空</x:v>
      </x:c>
      <x:c r="M28" s="16" t="str">
        <x:v>TIMESTAMPTZ有效值</x:v>
      </x:c>
      <x:c r="N28" s="16" t="str">
        <x:v>不从Excel读取</x:v>
      </x:c>
      <x:c r="O28" s="16" t="str">
        <x:v>是</x:v>
      </x:c>
      <x:c r="P28" s="16" t="str"/>
    </x:row>
    <x:row r="29" ht="34" customHeight="1">
      <x:c r="A29" s="16" t="str">
        <x:v>M025</x:v>
      </x:c>
      <x:c r="B29" s="16" t="str">
        <x:v>针叶木-打浆转数-纤维特性(1).xlsx</x:v>
      </x:c>
      <x:c r="C29" s="16" t="str">
        <x:v>原始版</x:v>
      </x:c>
      <x:c r="D29" s="16" t="str">
        <x:v>Sheet1</x:v>
      </x:c>
      <x:c r="E29" s="22" t="n">
        <x:v>1</x:v>
      </x:c>
      <x:c r="F29" s="16" t="str">
        <x:v>序号</x:v>
      </x:c>
      <x:c r="G29" s="16" t="str">
        <x:v>—</x:v>
      </x:c>
      <x:c r="H29" s="16" t="str">
        <x:v>校验键</x:v>
      </x:c>
      <x:c r="I29" s="16" t="str">
        <x:v>experiment_sample</x:v>
      </x:c>
      <x:c r="J29" s="16" t="str">
        <x:v>display_order</x:v>
      </x:c>
      <x:c r="K29" s="16" t="str">
        <x:v>仅用于核对行顺序，不覆盖打浆度文件</x:v>
      </x:c>
      <x:c r="L29" s="16" t="str">
        <x:v>禁止为空</x:v>
      </x:c>
      <x:c r="M29" s="16" t="str">
        <x:v>正整数</x:v>
      </x:c>
      <x:c r="N29" s="16" t="str">
        <x:v>不一致时终止该批</x:v>
      </x:c>
      <x:c r="O29" s="16" t="str">
        <x:v>是</x:v>
      </x:c>
      <x:c r="P29" s="16" t="str"/>
    </x:row>
    <x:row r="30" ht="34" customHeight="1">
      <x:c r="A30" s="16" t="str">
        <x:v>M026</x:v>
      </x:c>
      <x:c r="B30" s="16" t="str">
        <x:v>针叶木-打浆转数-纤维特性(1).xlsx</x:v>
      </x:c>
      <x:c r="C30" s="16" t="str">
        <x:v>原始版</x:v>
      </x:c>
      <x:c r="D30" s="16" t="str">
        <x:v>Sheet1</x:v>
      </x:c>
      <x:c r="E30" s="22" t="n">
        <x:v>2</x:v>
      </x:c>
      <x:c r="F30" s="16" t="str">
        <x:v>打浆转数</x:v>
      </x:c>
      <x:c r="G30" s="16" t="str">
        <x:v>r</x:v>
      </x:c>
      <x:c r="H30" s="16" t="str">
        <x:v>关联键</x:v>
      </x:c>
      <x:c r="I30" s="16" t="str">
        <x:v>fiber_measurement</x:v>
      </x:c>
      <x:c r="J30" s="16" t="str">
        <x:v>sample_id</x:v>
      </x:c>
      <x:c r="K30" s="16" t="str">
        <x:v>按SW+打浆转数定位canonical_code并查找sample_id</x:v>
      </x:c>
      <x:c r="L30" s="16" t="str">
        <x:v>禁止为空</x:v>
      </x:c>
      <x:c r="M30" s="16" t="str">
        <x:v>必须唯一命中样本</x:v>
      </x:c>
      <x:c r="N30" s="16" t="str">
        <x:v>不得新建仅存在于测量文件的样本</x:v>
      </x:c>
      <x:c r="O30" s="16" t="str">
        <x:v>是</x:v>
      </x:c>
      <x:c r="P30" s="16" t="str"/>
    </x:row>
    <x:row r="31" ht="34" customHeight="1">
      <x:c r="A31" s="16" t="str">
        <x:v>M027</x:v>
      </x:c>
      <x:c r="B31" s="16" t="str">
        <x:v>针叶木-打浆转数-纤维特性(1).xlsx</x:v>
      </x:c>
      <x:c r="C31" s="16" t="str">
        <x:v>原始版</x:v>
      </x:c>
      <x:c r="D31" s="16" t="str">
        <x:v>Sheet1</x:v>
      </x:c>
      <x:c r="E31" s="22" t="n">
        <x:v>3</x:v>
      </x:c>
      <x:c r="F31" s="16" t="str">
        <x:v>纤维长度/mm（算数平均）</x:v>
      </x:c>
      <x:c r="G31" s="16" t="str">
        <x:v>mm</x:v>
      </x:c>
      <x:c r="H31" s="16" t="str">
        <x:v>直接</x:v>
      </x:c>
      <x:c r="I31" s="16" t="str">
        <x:v>fiber_measurement</x:v>
      </x:c>
      <x:c r="J31" s="16" t="str">
        <x:v>fiber_length_arithmetic_mm</x:v>
      </x:c>
      <x:c r="K31" s="16" t="str">
        <x:v>保留原始数值精度并转换为NUMERIC</x:v>
      </x:c>
      <x:c r="L31" s="16" t="str">
        <x:v>空白、—或/转为NULL并记录质量告警</x:v>
      </x:c>
      <x:c r="M31" s="16" t="str">
        <x:v>数值且非负</x:v>
      </x:c>
      <x:c r="N31" s="16" t="str">
        <x:v>同sample_id已有记录时不得覆盖</x:v>
      </x:c>
      <x:c r="O31" s="16" t="str">
        <x:v>是</x:v>
      </x:c>
      <x:c r="P31" s="16" t="str"/>
    </x:row>
    <x:row r="32" ht="34" customHeight="1">
      <x:c r="A32" s="16" t="str">
        <x:v>M028</x:v>
      </x:c>
      <x:c r="B32" s="16" t="str">
        <x:v>针叶木-打浆转数-纤维特性(1).xlsx</x:v>
      </x:c>
      <x:c r="C32" s="16" t="str">
        <x:v>原始版</x:v>
      </x:c>
      <x:c r="D32" s="16" t="str">
        <x:v>Sheet1</x:v>
      </x:c>
      <x:c r="E32" s="22" t="n">
        <x:v>4</x:v>
      </x:c>
      <x:c r="F32" s="16" t="str">
        <x:v>纤维长度/mm（长度加权长）</x:v>
      </x:c>
      <x:c r="G32" s="16" t="str">
        <x:v>mm</x:v>
      </x:c>
      <x:c r="H32" s="16" t="str">
        <x:v>直接</x:v>
      </x:c>
      <x:c r="I32" s="16" t="str">
        <x:v>fiber_measurement</x:v>
      </x:c>
      <x:c r="J32" s="16" t="str">
        <x:v>fiber_length_weighted_mm</x:v>
      </x:c>
      <x:c r="K32" s="16" t="str">
        <x:v>保留原始数值精度并转换为NUMERIC</x:v>
      </x:c>
      <x:c r="L32" s="16" t="str">
        <x:v>空白、—或/转为NULL并记录质量告警</x:v>
      </x:c>
      <x:c r="M32" s="16" t="str">
        <x:v>数值且非负</x:v>
      </x:c>
      <x:c r="N32" s="16" t="str">
        <x:v>同sample_id已有记录时不得覆盖</x:v>
      </x:c>
      <x:c r="O32" s="16" t="str">
        <x:v>是</x:v>
      </x:c>
      <x:c r="P32" s="16" t="str"/>
    </x:row>
    <x:row r="33" ht="34" customHeight="1">
      <x:c r="A33" s="16" t="str">
        <x:v>M029</x:v>
      </x:c>
      <x:c r="B33" s="16" t="str">
        <x:v>针叶木-打浆转数-纤维特性(1).xlsx</x:v>
      </x:c>
      <x:c r="C33" s="16" t="str">
        <x:v>原始版</x:v>
      </x:c>
      <x:c r="D33" s="16" t="str">
        <x:v>Sheet1</x:v>
      </x:c>
      <x:c r="E33" s="22" t="n">
        <x:v>5</x:v>
      </x:c>
      <x:c r="F33" s="16" t="str">
        <x:v>宽度/μm</x:v>
      </x:c>
      <x:c r="G33" s="16" t="str">
        <x:v>μm</x:v>
      </x:c>
      <x:c r="H33" s="16" t="str">
        <x:v>直接</x:v>
      </x:c>
      <x:c r="I33" s="16" t="str">
        <x:v>fiber_measurement</x:v>
      </x:c>
      <x:c r="J33" s="16" t="str">
        <x:v>fiber_width_um</x:v>
      </x:c>
      <x:c r="K33" s="16" t="str">
        <x:v>保留原始数值精度并转换为NUMERIC</x:v>
      </x:c>
      <x:c r="L33" s="16" t="str">
        <x:v>空白、—或/转为NULL并记录质量告警</x:v>
      </x:c>
      <x:c r="M33" s="16" t="str">
        <x:v>数值且非负</x:v>
      </x:c>
      <x:c r="N33" s="16" t="str">
        <x:v>同sample_id已有记录时不得覆盖</x:v>
      </x:c>
      <x:c r="O33" s="16" t="str">
        <x:v>是</x:v>
      </x:c>
      <x:c r="P33" s="16" t="str"/>
    </x:row>
    <x:row r="34" ht="34" customHeight="1">
      <x:c r="A34" s="16" t="str">
        <x:v>M030</x:v>
      </x:c>
      <x:c r="B34" s="16" t="str">
        <x:v>针叶木-打浆转数-纤维特性(1).xlsx</x:v>
      </x:c>
      <x:c r="C34" s="16" t="str">
        <x:v>原始版</x:v>
      </x:c>
      <x:c r="D34" s="16" t="str">
        <x:v>Sheet1</x:v>
      </x:c>
      <x:c r="E34" s="22" t="n">
        <x:v>6</x:v>
      </x:c>
      <x:c r="F34" s="16" t="str">
        <x:v>粗度（mg/m）</x:v>
      </x:c>
      <x:c r="G34" s="16" t="str">
        <x:v>mg/m</x:v>
      </x:c>
      <x:c r="H34" s="16" t="str">
        <x:v>直接</x:v>
      </x:c>
      <x:c r="I34" s="16" t="str">
        <x:v>fiber_measurement</x:v>
      </x:c>
      <x:c r="J34" s="16" t="str">
        <x:v>fiber_coarseness_mg_m</x:v>
      </x:c>
      <x:c r="K34" s="16" t="str">
        <x:v>保留原始数值精度并转换为NUMERIC</x:v>
      </x:c>
      <x:c r="L34" s="16" t="str">
        <x:v>空白、—或/转为NULL并记录质量告警</x:v>
      </x:c>
      <x:c r="M34" s="16" t="str">
        <x:v>数值且非负</x:v>
      </x:c>
      <x:c r="N34" s="16" t="str">
        <x:v>同sample_id已有记录时不得覆盖</x:v>
      </x:c>
      <x:c r="O34" s="16" t="str">
        <x:v>是</x:v>
      </x:c>
      <x:c r="P34" s="16" t="str"/>
    </x:row>
    <x:row r="35" ht="34" customHeight="1">
      <x:c r="A35" s="16" t="str">
        <x:v>M031</x:v>
      </x:c>
      <x:c r="B35" s="16" t="str">
        <x:v>针叶木-打浆转数-纤维特性(1).xlsx</x:v>
      </x:c>
      <x:c r="C35" s="16" t="str">
        <x:v>原始版</x:v>
      </x:c>
      <x:c r="D35" s="16" t="str">
        <x:v>Sheet1</x:v>
      </x:c>
      <x:c r="E35" s="22" t="n">
        <x:v>7</x:v>
      </x:c>
      <x:c r="F35" s="16" t="str">
        <x:v>扭结角（°）</x:v>
      </x:c>
      <x:c r="G35" s="16" t="str">
        <x:v>°</x:v>
      </x:c>
      <x:c r="H35" s="16" t="str">
        <x:v>直接</x:v>
      </x:c>
      <x:c r="I35" s="16" t="str">
        <x:v>fiber_measurement</x:v>
      </x:c>
      <x:c r="J35" s="16" t="str">
        <x:v>kink_angle_deg</x:v>
      </x:c>
      <x:c r="K35" s="16" t="str">
        <x:v>保留原始数值精度并转换为NUMERIC</x:v>
      </x:c>
      <x:c r="L35" s="16" t="str">
        <x:v>空白、—或/转为NULL并记录质量告警</x:v>
      </x:c>
      <x:c r="M35" s="16" t="str">
        <x:v>数值且非负</x:v>
      </x:c>
      <x:c r="N35" s="16" t="str">
        <x:v>同sample_id已有记录时不得覆盖</x:v>
      </x:c>
      <x:c r="O35" s="16" t="str">
        <x:v>是</x:v>
      </x:c>
      <x:c r="P35" s="16" t="str"/>
    </x:row>
    <x:row r="36" ht="34" customHeight="1">
      <x:c r="A36" s="16" t="str">
        <x:v>M032</x:v>
      </x:c>
      <x:c r="B36" s="16" t="str">
        <x:v>针叶木-打浆转数-纤维特性(1).xlsx</x:v>
      </x:c>
      <x:c r="C36" s="16" t="str">
        <x:v>原始版</x:v>
      </x:c>
      <x:c r="D36" s="16" t="str">
        <x:v>Sheet1</x:v>
      </x:c>
      <x:c r="E36" s="22" t="n">
        <x:v>8</x:v>
      </x:c>
      <x:c r="F36" s="16" t="str">
        <x:v>扭结纤维（%）</x:v>
      </x:c>
      <x:c r="G36" s="16" t="str">
        <x:v>%</x:v>
      </x:c>
      <x:c r="H36" s="16" t="str">
        <x:v>直接</x:v>
      </x:c>
      <x:c r="I36" s="16" t="str">
        <x:v>fiber_measurement</x:v>
      </x:c>
      <x:c r="J36" s="16" t="str">
        <x:v>kinked_fiber_pct</x:v>
      </x:c>
      <x:c r="K36" s="16" t="str">
        <x:v>保留原始数值精度并转换为NUMERIC</x:v>
      </x:c>
      <x:c r="L36" s="16" t="str">
        <x:v>空白、—或/转为NULL并记录质量告警</x:v>
      </x:c>
      <x:c r="M36" s="16" t="str">
        <x:v>数值且非负</x:v>
      </x:c>
      <x:c r="N36" s="16" t="str">
        <x:v>同sample_id已有记录时不得覆盖</x:v>
      </x:c>
      <x:c r="O36" s="16" t="str">
        <x:v>是</x:v>
      </x:c>
      <x:c r="P36" s="16" t="str"/>
    </x:row>
    <x:row r="37" ht="34" customHeight="1">
      <x:c r="A37" s="16" t="str">
        <x:v>M033</x:v>
      </x:c>
      <x:c r="B37" s="16" t="str">
        <x:v>针叶木-打浆转数-纤维特性(1).xlsx</x:v>
      </x:c>
      <x:c r="C37" s="16" t="str">
        <x:v>原始版</x:v>
      </x:c>
      <x:c r="D37" s="16" t="str">
        <x:v>Sheet1</x:v>
      </x:c>
      <x:c r="E37" s="22" t="n">
        <x:v>9</x:v>
      </x:c>
      <x:c r="F37" s="16" t="str">
        <x:v>弯曲（%）</x:v>
      </x:c>
      <x:c r="G37" s="16" t="str">
        <x:v>%</x:v>
      </x:c>
      <x:c r="H37" s="16" t="str">
        <x:v>直接</x:v>
      </x:c>
      <x:c r="I37" s="16" t="str">
        <x:v>fiber_measurement</x:v>
      </x:c>
      <x:c r="J37" s="16" t="str">
        <x:v>curved_fiber_pct</x:v>
      </x:c>
      <x:c r="K37" s="16" t="str">
        <x:v>保留原始数值精度并转换为NUMERIC</x:v>
      </x:c>
      <x:c r="L37" s="16" t="str">
        <x:v>空白、—或/转为NULL并记录质量告警</x:v>
      </x:c>
      <x:c r="M37" s="16" t="str">
        <x:v>数值且非负</x:v>
      </x:c>
      <x:c r="N37" s="16" t="str">
        <x:v>同sample_id已有记录时不得覆盖</x:v>
      </x:c>
      <x:c r="O37" s="16" t="str">
        <x:v>是</x:v>
      </x:c>
      <x:c r="P37" s="16" t="str"/>
    </x:row>
    <x:row r="38" ht="34" customHeight="1">
      <x:c r="A38" s="16" t="str">
        <x:v>M034</x:v>
      </x:c>
      <x:c r="B38" s="16" t="str">
        <x:v>针叶木-打浆转数-纤维特性(1).xlsx</x:v>
      </x:c>
      <x:c r="C38" s="16" t="str">
        <x:v>原始版</x:v>
      </x:c>
      <x:c r="D38" s="16" t="str">
        <x:v>Sheet1</x:v>
      </x:c>
      <x:c r="E38" s="22" t="n">
        <x:v>10</x:v>
      </x:c>
      <x:c r="F38" s="16" t="str">
        <x:v>分丝帚化长度比（%）</x:v>
      </x:c>
      <x:c r="G38" s="16" t="str">
        <x:v>%</x:v>
      </x:c>
      <x:c r="H38" s="16" t="str">
        <x:v>直接</x:v>
      </x:c>
      <x:c r="I38" s="16" t="str">
        <x:v>fiber_measurement</x:v>
      </x:c>
      <x:c r="J38" s="16" t="str">
        <x:v>fibrillation_length_pct</x:v>
      </x:c>
      <x:c r="K38" s="16" t="str">
        <x:v>保留原始数值精度并转换为NUMERIC</x:v>
      </x:c>
      <x:c r="L38" s="16" t="str">
        <x:v>空白、—或/转为NULL并记录质量告警</x:v>
      </x:c>
      <x:c r="M38" s="16" t="str">
        <x:v>数值且非负</x:v>
      </x:c>
      <x:c r="N38" s="16" t="str">
        <x:v>同sample_id已有记录时不得覆盖</x:v>
      </x:c>
      <x:c r="O38" s="16" t="str">
        <x:v>是</x:v>
      </x:c>
      <x:c r="P38" s="16" t="str"/>
    </x:row>
    <x:row r="39" ht="34" customHeight="1">
      <x:c r="A39" s="16" t="str">
        <x:v>M035</x:v>
      </x:c>
      <x:c r="B39" s="16" t="str">
        <x:v>针叶木-打浆转数-纤维特性(1).xlsx</x:v>
      </x:c>
      <x:c r="C39" s="16" t="str">
        <x:v>原始版</x:v>
      </x:c>
      <x:c r="D39" s="16" t="str">
        <x:v>Sheet1</x:v>
      </x:c>
      <x:c r="E39" s="22" t="n">
        <x:v>11</x:v>
      </x:c>
      <x:c r="F39" s="16" t="str">
        <x:v>折断纤维比（%）</x:v>
      </x:c>
      <x:c r="G39" s="16" t="str">
        <x:v>%</x:v>
      </x:c>
      <x:c r="H39" s="16" t="str">
        <x:v>直接</x:v>
      </x:c>
      <x:c r="I39" s="16" t="str">
        <x:v>fiber_measurement</x:v>
      </x:c>
      <x:c r="J39" s="16" t="str">
        <x:v>broken_fiber_pct</x:v>
      </x:c>
      <x:c r="K39" s="16" t="str">
        <x:v>保留原始数值精度并转换为NUMERIC</x:v>
      </x:c>
      <x:c r="L39" s="16" t="str">
        <x:v>空白、—或/转为NULL并记录质量告警</x:v>
      </x:c>
      <x:c r="M39" s="16" t="str">
        <x:v>数值且非负</x:v>
      </x:c>
      <x:c r="N39" s="16" t="str">
        <x:v>同sample_id已有记录时不得覆盖</x:v>
      </x:c>
      <x:c r="O39" s="16" t="str">
        <x:v>是</x:v>
      </x:c>
      <x:c r="P39" s="16" t="str"/>
    </x:row>
    <x:row r="40" ht="34" customHeight="1">
      <x:c r="A40" s="16" t="str">
        <x:v>M036</x:v>
      </x:c>
      <x:c r="B40" s="16" t="str">
        <x:v>针叶木-打浆转数-纤维特性(1).xlsx</x:v>
      </x:c>
      <x:c r="C40" s="16" t="str">
        <x:v>原始版</x:v>
      </x:c>
      <x:c r="D40" s="16" t="str">
        <x:v>Sheet1</x:v>
      </x:c>
      <x:c r="E40" s="22" t="n">
        <x:v>12</x:v>
      </x:c>
      <x:c r="F40" s="16" t="str">
        <x:v>细小纤维（长度比%）</x:v>
      </x:c>
      <x:c r="G40" s="16" t="str">
        <x:v>%</x:v>
      </x:c>
      <x:c r="H40" s="16" t="str">
        <x:v>直接</x:v>
      </x:c>
      <x:c r="I40" s="16" t="str">
        <x:v>fiber_measurement</x:v>
      </x:c>
      <x:c r="J40" s="16" t="str">
        <x:v>fines_length_pct</x:v>
      </x:c>
      <x:c r="K40" s="16" t="str">
        <x:v>保留原始数值精度并转换为NUMERIC</x:v>
      </x:c>
      <x:c r="L40" s="16" t="str">
        <x:v>空白、—或/转为NULL并记录质量告警</x:v>
      </x:c>
      <x:c r="M40" s="16" t="str">
        <x:v>数值且非负</x:v>
      </x:c>
      <x:c r="N40" s="16" t="str">
        <x:v>同sample_id已有记录时不得覆盖</x:v>
      </x:c>
      <x:c r="O40" s="16" t="str">
        <x:v>是</x:v>
      </x:c>
      <x:c r="P40" s="16" t="str"/>
    </x:row>
    <x:row r="41" ht="34" customHeight="1">
      <x:c r="A41" s="16" t="str">
        <x:v>M037</x:v>
      </x:c>
      <x:c r="B41" s="16" t="str">
        <x:v>针叶木-打浆转数-纤维特性(1).xlsx</x:v>
      </x:c>
      <x:c r="C41" s="16" t="str">
        <x:v>原始版</x:v>
      </x:c>
      <x:c r="D41" s="16" t="str">
        <x:v>Sheet1</x:v>
      </x:c>
      <x:c r="E41" s="22" t="n">
        <x:v>13</x:v>
      </x:c>
      <x:c r="F41" s="16" t="str">
        <x:v>细小纤维（长度加权比%）</x:v>
      </x:c>
      <x:c r="G41" s="16" t="str">
        <x:v>%</x:v>
      </x:c>
      <x:c r="H41" s="16" t="str">
        <x:v>直接</x:v>
      </x:c>
      <x:c r="I41" s="16" t="str">
        <x:v>fiber_measurement</x:v>
      </x:c>
      <x:c r="J41" s="16" t="str">
        <x:v>fines_weighted_length_pct</x:v>
      </x:c>
      <x:c r="K41" s="16" t="str">
        <x:v>保留原始数值精度并转换为NUMERIC</x:v>
      </x:c>
      <x:c r="L41" s="16" t="str">
        <x:v>空白、—或/转为NULL并记录质量告警</x:v>
      </x:c>
      <x:c r="M41" s="16" t="str">
        <x:v>数值且非负</x:v>
      </x:c>
      <x:c r="N41" s="16" t="str">
        <x:v>同sample_id已有记录时不得覆盖</x:v>
      </x:c>
      <x:c r="O41" s="16" t="str">
        <x:v>是</x:v>
      </x:c>
      <x:c r="P41" s="16" t="str"/>
    </x:row>
    <x:row r="42" ht="34" customHeight="1">
      <x:c r="A42" s="16" t="str">
        <x:v>M038</x:v>
      </x:c>
      <x:c r="B42" s="16" t="str">
        <x:v>针叶木-打浆转数-纤维特性(1).xlsx</x:v>
      </x:c>
      <x:c r="C42" s="16" t="str">
        <x:v>原始版</x:v>
      </x:c>
      <x:c r="D42" s="16" t="str">
        <x:v>Sheet1</x:v>
      </x:c>
      <x:c r="E42" s="22" t="n">
        <x:v>14</x:v>
      </x:c>
      <x:c r="F42" s="16" t="str">
        <x:v>细小纤维面积比（%）</x:v>
      </x:c>
      <x:c r="G42" s="16" t="str">
        <x:v>%</x:v>
      </x:c>
      <x:c r="H42" s="16" t="str">
        <x:v>直接</x:v>
      </x:c>
      <x:c r="I42" s="16" t="str">
        <x:v>fiber_measurement</x:v>
      </x:c>
      <x:c r="J42" s="16" t="str">
        <x:v>fines_area_pct</x:v>
      </x:c>
      <x:c r="K42" s="16" t="str">
        <x:v>保留原始数值精度并转换为NUMERIC</x:v>
      </x:c>
      <x:c r="L42" s="16" t="str">
        <x:v>空白、—或/转为NULL并记录质量告警</x:v>
      </x:c>
      <x:c r="M42" s="16" t="str">
        <x:v>数值且非负</x:v>
      </x:c>
      <x:c r="N42" s="16" t="str">
        <x:v>同sample_id已有记录时不得覆盖</x:v>
      </x:c>
      <x:c r="O42" s="16" t="str">
        <x:v>是</x:v>
      </x:c>
      <x:c r="P42" s="16" t="str"/>
    </x:row>
    <x:row r="43" ht="34" customHeight="1">
      <x:c r="A43" s="16" t="str">
        <x:v>M039</x:v>
      </x:c>
      <x:c r="B43" s="16" t="str">
        <x:v>针叶木-打浆转数-纤维特性(1).xlsx</x:v>
      </x:c>
      <x:c r="C43" s="16" t="str">
        <x:v>原始版</x:v>
      </x:c>
      <x:c r="D43" s="16" t="str">
        <x:v>Sheet1</x:v>
      </x:c>
      <x:c r="E43" s="22" t="n">
        <x:v>0</x:v>
      </x:c>
      <x:c r="F43" s="16" t="str">
        <x:v>〈当前来源行〉</x:v>
      </x:c>
      <x:c r="G43" s="16" t="str">
        <x:v>—</x:v>
      </x:c>
      <x:c r="H43" s="16" t="str">
        <x:v>关联</x:v>
      </x:c>
      <x:c r="I43" s="16" t="str">
        <x:v>fiber_measurement</x:v>
      </x:c>
      <x:c r="J43" s="16" t="str">
        <x:v>source_id</x:v>
      </x:c>
      <x:c r="K43" s="16" t="str">
        <x:v>引用本行data_source.source_id</x:v>
      </x:c>
      <x:c r="L43" s="16" t="str">
        <x:v>禁止为空</x:v>
      </x:c>
      <x:c r="M43" s="16" t="str">
        <x:v>外键有效</x:v>
      </x:c>
      <x:c r="N43" s="16" t="str">
        <x:v>缺失来源不得入库</x:v>
      </x:c>
      <x:c r="O43" s="16" t="str">
        <x:v>是</x:v>
      </x:c>
      <x:c r="P43" s="16" t="str"/>
    </x:row>
    <x:row r="44" ht="34" customHeight="1">
      <x:c r="A44" s="16" t="str">
        <x:v>M040</x:v>
      </x:c>
      <x:c r="B44" s="16" t="str">
        <x:v>针叶木-打浆转数-纸张性能(1).xlsx</x:v>
      </x:c>
      <x:c r="C44" s="16" t="str">
        <x:v>原始版</x:v>
      </x:c>
      <x:c r="D44" s="16" t="str">
        <x:v>Sheet1</x:v>
      </x:c>
      <x:c r="E44" s="22" t="n">
        <x:v>0</x:v>
      </x:c>
      <x:c r="F44" s="16" t="str">
        <x:v>〈文件名〉</x:v>
      </x:c>
      <x:c r="G44" s="16" t="str">
        <x:v>—</x:v>
      </x:c>
      <x:c r="H44" s="16" t="str">
        <x:v>来源元数据</x:v>
      </x:c>
      <x:c r="I44" s="16" t="str">
        <x:v>data_source</x:v>
      </x:c>
      <x:c r="J44" s="16" t="str">
        <x:v>file_name</x:v>
      </x:c>
      <x:c r="K44" s="16" t="str">
        <x:v>写入当前原始文件名</x:v>
      </x:c>
      <x:c r="L44" s="16" t="str">
        <x:v>禁止为空</x:v>
      </x:c>
      <x:c r="M44" s="16" t="str">
        <x:v>必须在正式来源白名单中</x:v>
      </x:c>
      <x:c r="N44" s="16" t="str">
        <x:v>旧复配版或汇总文件立即终止该批</x:v>
      </x:c>
      <x:c r="O44" s="16" t="str">
        <x:v>是</x:v>
      </x:c>
      <x:c r="P44" s="16" t="str"/>
    </x:row>
    <x:row r="45" ht="34" customHeight="1">
      <x:c r="A45" s="16" t="str">
        <x:v>M041</x:v>
      </x:c>
      <x:c r="B45" s="16" t="str">
        <x:v>针叶木-打浆转数-纸张性能(1).xlsx</x:v>
      </x:c>
      <x:c r="C45" s="16" t="str">
        <x:v>原始版</x:v>
      </x:c>
      <x:c r="D45" s="16" t="str">
        <x:v>Sheet1</x:v>
      </x:c>
      <x:c r="E45" s="22" t="n">
        <x:v>0</x:v>
      </x:c>
      <x:c r="F45" s="16" t="str">
        <x:v>〈工作表名〉</x:v>
      </x:c>
      <x:c r="G45" s="16" t="str">
        <x:v>—</x:v>
      </x:c>
      <x:c r="H45" s="16" t="str">
        <x:v>来源元数据</x:v>
      </x:c>
      <x:c r="I45" s="16" t="str">
        <x:v>data_source</x:v>
      </x:c>
      <x:c r="J45" s="16" t="str">
        <x:v>sheet_name</x:v>
      </x:c>
      <x:c r="K45" s="16" t="str">
        <x:v>固定写入Sheet1</x:v>
      </x:c>
      <x:c r="L45" s="16" t="str">
        <x:v>禁止为空</x:v>
      </x:c>
      <x:c r="M45" s="16" t="str">
        <x:v>仅允许有效工作表Sheet1</x:v>
      </x:c>
      <x:c r="N45" s="16" t="str">
        <x:v>空白Sheet2/Sheet3不处理</x:v>
      </x:c>
      <x:c r="O45" s="16" t="str">
        <x:v>是</x:v>
      </x:c>
      <x:c r="P45" s="16" t="str"/>
    </x:row>
    <x:row r="46" ht="34" customHeight="1">
      <x:c r="A46" s="16" t="str">
        <x:v>M042</x:v>
      </x:c>
      <x:c r="B46" s="16" t="str">
        <x:v>针叶木-打浆转数-纸张性能(1).xlsx</x:v>
      </x:c>
      <x:c r="C46" s="16" t="str">
        <x:v>原始版</x:v>
      </x:c>
      <x:c r="D46" s="16" t="str">
        <x:v>Sheet1</x:v>
      </x:c>
      <x:c r="E46" s="22" t="n">
        <x:v>0</x:v>
      </x:c>
      <x:c r="F46" s="16" t="str">
        <x:v>〈Excel行号〉</x:v>
      </x:c>
      <x:c r="G46" s="16" t="str">
        <x:v>行</x:v>
      </x:c>
      <x:c r="H46" s="16" t="str">
        <x:v>系统生成</x:v>
      </x:c>
      <x:c r="I46" s="16" t="str">
        <x:v>data_source</x:v>
      </x:c>
      <x:c r="J46" s="16" t="str">
        <x:v>source_row</x:v>
      </x:c>
      <x:c r="K46" s="16" t="str">
        <x:v>写入原始数据所在Excel实际行号</x:v>
      </x:c>
      <x:c r="L46" s="16" t="str">
        <x:v>禁止为空</x:v>
      </x:c>
      <x:c r="M46" s="16" t="str">
        <x:v>&gt;=2且为整数</x:v>
      </x:c>
      <x:c r="N46" s="16" t="str">
        <x:v>同文件、工作表、行号不得重复</x:v>
      </x:c>
      <x:c r="O46" s="16" t="str">
        <x:v>是</x:v>
      </x:c>
      <x:c r="P46" s="16" t="str"/>
    </x:row>
    <x:row r="47" ht="34" customHeight="1">
      <x:c r="A47" s="16" t="str">
        <x:v>M043</x:v>
      </x:c>
      <x:c r="B47" s="16" t="str">
        <x:v>针叶木-打浆转数-纸张性能(1).xlsx</x:v>
      </x:c>
      <x:c r="C47" s="16" t="str">
        <x:v>原始版</x:v>
      </x:c>
      <x:c r="D47" s="16" t="str">
        <x:v>Sheet1</x:v>
      </x:c>
      <x:c r="E47" s="22" t="n">
        <x:v>0</x:v>
      </x:c>
      <x:c r="F47" s="16" t="str">
        <x:v>〈来源版本〉</x:v>
      </x:c>
      <x:c r="G47" s="16" t="str">
        <x:v>—</x:v>
      </x:c>
      <x:c r="H47" s="16" t="str">
        <x:v>文件上下文</x:v>
      </x:c>
      <x:c r="I47" s="16" t="str">
        <x:v>data_source</x:v>
      </x:c>
      <x:c r="J47" s="16" t="str">
        <x:v>source_version</x:v>
      </x:c>
      <x:c r="K47" s="16" t="str">
        <x:v>固定写入原始版</x:v>
      </x:c>
      <x:c r="L47" s="16" t="str">
        <x:v>禁止为空</x:v>
      </x:c>
      <x:c r="M47" s="16" t="str">
        <x:v>复配文件必须为0110</x:v>
      </x:c>
      <x:c r="N47" s="16" t="str">
        <x:v>旧版不得覆盖0110</x:v>
      </x:c>
      <x:c r="O47" s="16" t="str">
        <x:v>是</x:v>
      </x:c>
      <x:c r="P47" s="16" t="str"/>
    </x:row>
    <x:row r="48" ht="34" customHeight="1">
      <x:c r="A48" s="16" t="str">
        <x:v>M044</x:v>
      </x:c>
      <x:c r="B48" s="16" t="str">
        <x:v>针叶木-打浆转数-纸张性能(1).xlsx</x:v>
      </x:c>
      <x:c r="C48" s="16" t="str">
        <x:v>原始版</x:v>
      </x:c>
      <x:c r="D48" s="16" t="str">
        <x:v>Sheet1</x:v>
      </x:c>
      <x:c r="E48" s="22" t="n">
        <x:v>0</x:v>
      </x:c>
      <x:c r="F48" s="16" t="str">
        <x:v>〈导入时间〉</x:v>
      </x:c>
      <x:c r="G48" s="16" t="str">
        <x:v>—</x:v>
      </x:c>
      <x:c r="H48" s="16" t="str">
        <x:v>系统生成</x:v>
      </x:c>
      <x:c r="I48" s="16" t="str">
        <x:v>data_source</x:v>
      </x:c>
      <x:c r="J48" s="16" t="str">
        <x:v>imported_at</x:v>
      </x:c>
      <x:c r="K48" s="16" t="str">
        <x:v>由PostgreSQL CURRENT_TIMESTAMP生成</x:v>
      </x:c>
      <x:c r="L48" s="16" t="str">
        <x:v>禁止为空</x:v>
      </x:c>
      <x:c r="M48" s="16" t="str">
        <x:v>TIMESTAMPTZ有效值</x:v>
      </x:c>
      <x:c r="N48" s="16" t="str">
        <x:v>不从Excel读取</x:v>
      </x:c>
      <x:c r="O48" s="16" t="str">
        <x:v>是</x:v>
      </x:c>
      <x:c r="P48" s="16" t="str"/>
    </x:row>
    <x:row r="49" ht="34" customHeight="1">
      <x:c r="A49" s="16" t="str">
        <x:v>M045</x:v>
      </x:c>
      <x:c r="B49" s="16" t="str">
        <x:v>针叶木-打浆转数-纸张性能(1).xlsx</x:v>
      </x:c>
      <x:c r="C49" s="16" t="str">
        <x:v>原始版</x:v>
      </x:c>
      <x:c r="D49" s="16" t="str">
        <x:v>Sheet1</x:v>
      </x:c>
      <x:c r="E49" s="22" t="n">
        <x:v>1</x:v>
      </x:c>
      <x:c r="F49" s="16" t="str">
        <x:v>序号</x:v>
      </x:c>
      <x:c r="G49" s="16" t="str">
        <x:v>—</x:v>
      </x:c>
      <x:c r="H49" s="16" t="str">
        <x:v>校验键</x:v>
      </x:c>
      <x:c r="I49" s="16" t="str">
        <x:v>experiment_sample</x:v>
      </x:c>
      <x:c r="J49" s="16" t="str">
        <x:v>display_order</x:v>
      </x:c>
      <x:c r="K49" s="16" t="str">
        <x:v>仅用于核对行顺序，不覆盖打浆度文件</x:v>
      </x:c>
      <x:c r="L49" s="16" t="str">
        <x:v>禁止为空</x:v>
      </x:c>
      <x:c r="M49" s="16" t="str">
        <x:v>正整数</x:v>
      </x:c>
      <x:c r="N49" s="16" t="str">
        <x:v>不一致时终止该批</x:v>
      </x:c>
      <x:c r="O49" s="16" t="str">
        <x:v>是</x:v>
      </x:c>
      <x:c r="P49" s="16" t="str"/>
    </x:row>
    <x:row r="50" ht="34" customHeight="1">
      <x:c r="A50" s="16" t="str">
        <x:v>M046</x:v>
      </x:c>
      <x:c r="B50" s="16" t="str">
        <x:v>针叶木-打浆转数-纸张性能(1).xlsx</x:v>
      </x:c>
      <x:c r="C50" s="16" t="str">
        <x:v>原始版</x:v>
      </x:c>
      <x:c r="D50" s="16" t="str">
        <x:v>Sheet1</x:v>
      </x:c>
      <x:c r="E50" s="22" t="n">
        <x:v>2</x:v>
      </x:c>
      <x:c r="F50" s="16" t="str">
        <x:v>打浆转数/r</x:v>
      </x:c>
      <x:c r="G50" s="16" t="str">
        <x:v>r</x:v>
      </x:c>
      <x:c r="H50" s="16" t="str">
        <x:v>关联键</x:v>
      </x:c>
      <x:c r="I50" s="16" t="str">
        <x:v>paper_measurement</x:v>
      </x:c>
      <x:c r="J50" s="16" t="str">
        <x:v>sample_id</x:v>
      </x:c>
      <x:c r="K50" s="16" t="str">
        <x:v>按SW+打浆转数定位canonical_code并查找sample_id</x:v>
      </x:c>
      <x:c r="L50" s="16" t="str">
        <x:v>禁止为空</x:v>
      </x:c>
      <x:c r="M50" s="16" t="str">
        <x:v>必须唯一命中样本</x:v>
      </x:c>
      <x:c r="N50" s="16" t="str">
        <x:v>不得新建仅存在于测量文件的样本</x:v>
      </x:c>
      <x:c r="O50" s="16" t="str">
        <x:v>是</x:v>
      </x:c>
      <x:c r="P50" s="16" t="str"/>
    </x:row>
    <x:row r="51" ht="34" customHeight="1">
      <x:c r="A51" s="16" t="str">
        <x:v>M047</x:v>
      </x:c>
      <x:c r="B51" s="16" t="str">
        <x:v>针叶木-打浆转数-纸张性能(1).xlsx</x:v>
      </x:c>
      <x:c r="C51" s="16" t="str">
        <x:v>原始版</x:v>
      </x:c>
      <x:c r="D51" s="16" t="str">
        <x:v>Sheet1</x:v>
      </x:c>
      <x:c r="E51" s="22" t="n">
        <x:v>3</x:v>
      </x:c>
      <x:c r="F51" s="16" t="str">
        <x:v>定量(g/m2)</x:v>
      </x:c>
      <x:c r="G51" s="16" t="str">
        <x:v>g/m²</x:v>
      </x:c>
      <x:c r="H51" s="16" t="str">
        <x:v>直接</x:v>
      </x:c>
      <x:c r="I51" s="16" t="str">
        <x:v>paper_measurement</x:v>
      </x:c>
      <x:c r="J51" s="16" t="str">
        <x:v>basis_weight_g_m2</x:v>
      </x:c>
      <x:c r="K51" s="16" t="str">
        <x:v>保留原始数值精度并转换为NUMERIC</x:v>
      </x:c>
      <x:c r="L51" s="16" t="str">
        <x:v>空白、—或/转为NULL并记录质量告警</x:v>
      </x:c>
      <x:c r="M51" s="16" t="str">
        <x:v>数值且非负</x:v>
      </x:c>
      <x:c r="N51" s="16" t="str">
        <x:v>同sample_id已有记录时不得覆盖</x:v>
      </x:c>
      <x:c r="O51" s="16" t="str">
        <x:v>是</x:v>
      </x:c>
      <x:c r="P51" s="16" t="str"/>
    </x:row>
    <x:row r="52" ht="34" customHeight="1">
      <x:c r="A52" s="16" t="str">
        <x:v>M048</x:v>
      </x:c>
      <x:c r="B52" s="16" t="str">
        <x:v>针叶木-打浆转数-纸张性能(1).xlsx</x:v>
      </x:c>
      <x:c r="C52" s="16" t="str">
        <x:v>原始版</x:v>
      </x:c>
      <x:c r="D52" s="16" t="str">
        <x:v>Sheet1</x:v>
      </x:c>
      <x:c r="E52" s="22" t="n">
        <x:v>4</x:v>
      </x:c>
      <x:c r="F52" s="16" t="str">
        <x:v>厚度(μm)</x:v>
      </x:c>
      <x:c r="G52" s="16" t="str">
        <x:v>μm</x:v>
      </x:c>
      <x:c r="H52" s="16" t="str">
        <x:v>直接</x:v>
      </x:c>
      <x:c r="I52" s="16" t="str">
        <x:v>paper_measurement</x:v>
      </x:c>
      <x:c r="J52" s="16" t="str">
        <x:v>thickness_um</x:v>
      </x:c>
      <x:c r="K52" s="16" t="str">
        <x:v>保留原始数值精度并转换为NUMERIC</x:v>
      </x:c>
      <x:c r="L52" s="16" t="str">
        <x:v>空白、—或/转为NULL并记录质量告警</x:v>
      </x:c>
      <x:c r="M52" s="16" t="str">
        <x:v>数值且非负</x:v>
      </x:c>
      <x:c r="N52" s="16" t="str">
        <x:v>同sample_id已有记录时不得覆盖</x:v>
      </x:c>
      <x:c r="O52" s="16" t="str">
        <x:v>是</x:v>
      </x:c>
      <x:c r="P52" s="16" t="str"/>
    </x:row>
    <x:row r="53" ht="34" customHeight="1">
      <x:c r="A53" s="16" t="str">
        <x:v>M049</x:v>
      </x:c>
      <x:c r="B53" s="16" t="str">
        <x:v>针叶木-打浆转数-纸张性能(1).xlsx</x:v>
      </x:c>
      <x:c r="C53" s="16" t="str">
        <x:v>原始版</x:v>
      </x:c>
      <x:c r="D53" s="16" t="str">
        <x:v>Sheet1</x:v>
      </x:c>
      <x:c r="E53" s="22" t="n">
        <x:v>5</x:v>
      </x:c>
      <x:c r="F53" s="16" t="str">
        <x:v>耐破指数(kPa·m2·g-1)</x:v>
      </x:c>
      <x:c r="G53" s="16" t="str">
        <x:v>kPa·m²/g</x:v>
      </x:c>
      <x:c r="H53" s="16" t="str">
        <x:v>直接</x:v>
      </x:c>
      <x:c r="I53" s="16" t="str">
        <x:v>paper_measurement</x:v>
      </x:c>
      <x:c r="J53" s="16" t="str">
        <x:v>burst_index</x:v>
      </x:c>
      <x:c r="K53" s="16" t="str">
        <x:v>保留原始数值精度并转换为NUMERIC</x:v>
      </x:c>
      <x:c r="L53" s="16" t="str">
        <x:v>空白、—或/转为NULL并记录质量告警</x:v>
      </x:c>
      <x:c r="M53" s="16" t="str">
        <x:v>数值且非负</x:v>
      </x:c>
      <x:c r="N53" s="16" t="str">
        <x:v>同sample_id已有记录时不得覆盖</x:v>
      </x:c>
      <x:c r="O53" s="16" t="str">
        <x:v>是</x:v>
      </x:c>
      <x:c r="P53" s="16" t="str"/>
    </x:row>
    <x:row r="54" ht="34" customHeight="1">
      <x:c r="A54" s="16" t="str">
        <x:v>M050</x:v>
      </x:c>
      <x:c r="B54" s="16" t="str">
        <x:v>针叶木-打浆转数-纸张性能(1).xlsx</x:v>
      </x:c>
      <x:c r="C54" s="16" t="str">
        <x:v>原始版</x:v>
      </x:c>
      <x:c r="D54" s="16" t="str">
        <x:v>Sheet1</x:v>
      </x:c>
      <x:c r="E54" s="22" t="n">
        <x:v>6</x:v>
      </x:c>
      <x:c r="F54" s="16" t="str">
        <x:v>撕裂指数(mN·m2·g-1)</x:v>
      </x:c>
      <x:c r="G54" s="16" t="str">
        <x:v>mN·m²/g</x:v>
      </x:c>
      <x:c r="H54" s="16" t="str">
        <x:v>直接</x:v>
      </x:c>
      <x:c r="I54" s="16" t="str">
        <x:v>paper_measurement</x:v>
      </x:c>
      <x:c r="J54" s="16" t="str">
        <x:v>tear_index</x:v>
      </x:c>
      <x:c r="K54" s="16" t="str">
        <x:v>保留原始数值精度并转换为NUMERIC</x:v>
      </x:c>
      <x:c r="L54" s="16" t="str">
        <x:v>空白、—或/转为NULL并记录质量告警</x:v>
      </x:c>
      <x:c r="M54" s="16" t="str">
        <x:v>数值且非负</x:v>
      </x:c>
      <x:c r="N54" s="16" t="str">
        <x:v>同sample_id已有记录时不得覆盖</x:v>
      </x:c>
      <x:c r="O54" s="16" t="str">
        <x:v>是</x:v>
      </x:c>
      <x:c r="P54" s="16" t="str"/>
    </x:row>
    <x:row r="55" ht="34" customHeight="1">
      <x:c r="A55" s="16" t="str">
        <x:v>M051</x:v>
      </x:c>
      <x:c r="B55" s="16" t="str">
        <x:v>针叶木-打浆转数-纸张性能(1).xlsx</x:v>
      </x:c>
      <x:c r="C55" s="16" t="str">
        <x:v>原始版</x:v>
      </x:c>
      <x:c r="D55" s="16" t="str">
        <x:v>Sheet1</x:v>
      </x:c>
      <x:c r="E55" s="22" t="n">
        <x:v>7</x:v>
      </x:c>
      <x:c r="F55" s="16" t="str">
        <x:v>抗张指数(N·m·g-1)</x:v>
      </x:c>
      <x:c r="G55" s="16" t="str">
        <x:v>N·m/g</x:v>
      </x:c>
      <x:c r="H55" s="16" t="str">
        <x:v>直接</x:v>
      </x:c>
      <x:c r="I55" s="16" t="str">
        <x:v>paper_measurement</x:v>
      </x:c>
      <x:c r="J55" s="16" t="str">
        <x:v>tensile_index</x:v>
      </x:c>
      <x:c r="K55" s="16" t="str">
        <x:v>保留原始数值精度并转换为NUMERIC</x:v>
      </x:c>
      <x:c r="L55" s="16" t="str">
        <x:v>空白、—或/转为NULL并记录质量告警</x:v>
      </x:c>
      <x:c r="M55" s="16" t="str">
        <x:v>数值且非负</x:v>
      </x:c>
      <x:c r="N55" s="16" t="str">
        <x:v>同sample_id已有记录时不得覆盖</x:v>
      </x:c>
      <x:c r="O55" s="16" t="str">
        <x:v>是</x:v>
      </x:c>
      <x:c r="P55" s="16" t="str"/>
    </x:row>
    <x:row r="56" ht="34" customHeight="1">
      <x:c r="A56" s="16" t="str">
        <x:v>M052</x:v>
      </x:c>
      <x:c r="B56" s="16" t="str">
        <x:v>针叶木-打浆转数-纸张性能(1).xlsx</x:v>
      </x:c>
      <x:c r="C56" s="16" t="str">
        <x:v>原始版</x:v>
      </x:c>
      <x:c r="D56" s="16" t="str">
        <x:v>Sheet1</x:v>
      </x:c>
      <x:c r="E56" s="22" t="n">
        <x:v>8</x:v>
      </x:c>
      <x:c r="F56" s="16" t="str">
        <x:v>零距抗张强度(N/cm)</x:v>
      </x:c>
      <x:c r="G56" s="16" t="str">
        <x:v>N/cm</x:v>
      </x:c>
      <x:c r="H56" s="16" t="str">
        <x:v>直接</x:v>
      </x:c>
      <x:c r="I56" s="16" t="str">
        <x:v>paper_measurement</x:v>
      </x:c>
      <x:c r="J56" s="16" t="str">
        <x:v>zero_span_tensile</x:v>
      </x:c>
      <x:c r="K56" s="16" t="str">
        <x:v>保留原始数值精度并转换为NUMERIC</x:v>
      </x:c>
      <x:c r="L56" s="16" t="str">
        <x:v>空白、—或/转为NULL并记录质量告警</x:v>
      </x:c>
      <x:c r="M56" s="16" t="str">
        <x:v>数值且非负</x:v>
      </x:c>
      <x:c r="N56" s="16" t="str">
        <x:v>同sample_id已有记录时不得覆盖</x:v>
      </x:c>
      <x:c r="O56" s="16" t="str">
        <x:v>是</x:v>
      </x:c>
      <x:c r="P56" s="16" t="str"/>
    </x:row>
    <x:row r="57" ht="34" customHeight="1">
      <x:c r="A57" s="16" t="str">
        <x:v>M053</x:v>
      </x:c>
      <x:c r="B57" s="16" t="str">
        <x:v>针叶木-打浆转数-纸张性能(1).xlsx</x:v>
      </x:c>
      <x:c r="C57" s="16" t="str">
        <x:v>原始版</x:v>
      </x:c>
      <x:c r="D57" s="16" t="str">
        <x:v>Sheet1</x:v>
      </x:c>
      <x:c r="E57" s="22" t="n">
        <x:v>9</x:v>
      </x:c>
      <x:c r="F57" s="16" t="str">
        <x:v>表面粗糙度(ml/min)</x:v>
      </x:c>
      <x:c r="G57" s="16" t="str">
        <x:v>ml/min</x:v>
      </x:c>
      <x:c r="H57" s="16" t="str">
        <x:v>直接</x:v>
      </x:c>
      <x:c r="I57" s="16" t="str">
        <x:v>paper_measurement</x:v>
      </x:c>
      <x:c r="J57" s="16" t="str">
        <x:v>surface_roughness</x:v>
      </x:c>
      <x:c r="K57" s="16" t="str">
        <x:v>保留原始数值精度并转换为NUMERIC</x:v>
      </x:c>
      <x:c r="L57" s="16" t="str">
        <x:v>空白、—或/转为NULL并记录质量告警</x:v>
      </x:c>
      <x:c r="M57" s="16" t="str">
        <x:v>数值且非负</x:v>
      </x:c>
      <x:c r="N57" s="16" t="str">
        <x:v>同sample_id已有记录时不得覆盖</x:v>
      </x:c>
      <x:c r="O57" s="16" t="str">
        <x:v>是</x:v>
      </x:c>
      <x:c r="P57" s="16" t="str"/>
    </x:row>
    <x:row r="58" ht="34" customHeight="1">
      <x:c r="A58" s="16" t="str">
        <x:v>M054</x:v>
      </x:c>
      <x:c r="B58" s="16" t="str">
        <x:v>针叶木-打浆转数-纸张性能(1).xlsx</x:v>
      </x:c>
      <x:c r="C58" s="16" t="str">
        <x:v>原始版</x:v>
      </x:c>
      <x:c r="D58" s="16" t="str">
        <x:v>Sheet1</x:v>
      </x:c>
      <x:c r="E58" s="22" t="n">
        <x:v>10</x:v>
      </x:c>
      <x:c r="F58" s="16" t="str">
        <x:v>透气度</x:v>
      </x:c>
      <x:c r="G58" s="16" t="str">
        <x:v>源表未标注；设计暂定μm/(Pa·s)</x:v>
      </x:c>
      <x:c r="H58" s="16" t="str">
        <x:v>直接</x:v>
      </x:c>
      <x:c r="I58" s="16" t="str">
        <x:v>paper_measurement</x:v>
      </x:c>
      <x:c r="J58" s="16" t="str">
        <x:v>air_permeability</x:v>
      </x:c>
      <x:c r="K58" s="16" t="str">
        <x:v>保留原始数值精度并转换为NUMERIC</x:v>
      </x:c>
      <x:c r="L58" s="16" t="str">
        <x:v>空白、—或/转为NULL并记录质量告警</x:v>
      </x:c>
      <x:c r="M58" s="16" t="str">
        <x:v>数值且非负</x:v>
      </x:c>
      <x:c r="N58" s="16" t="str">
        <x:v>同sample_id已有记录时不得覆盖</x:v>
      </x:c>
      <x:c r="O58" s="16" t="str">
        <x:v>是</x:v>
      </x:c>
      <x:c r="P58" s="16" t="str">
        <x:v>单位状态见字段数据字典</x:v>
      </x:c>
    </x:row>
    <x:row r="59" ht="34" customHeight="1">
      <x:c r="A59" s="16" t="str">
        <x:v>M055</x:v>
      </x:c>
      <x:c r="B59" s="16" t="str">
        <x:v>针叶木-打浆转数-纸张性能(1).xlsx</x:v>
      </x:c>
      <x:c r="C59" s="16" t="str">
        <x:v>原始版</x:v>
      </x:c>
      <x:c r="D59" s="16" t="str">
        <x:v>Sheet1</x:v>
      </x:c>
      <x:c r="E59" s="22" t="n">
        <x:v>11</x:v>
      </x:c>
      <x:c r="F59" s="16" t="str">
        <x:v>耐折度</x:v>
      </x:c>
      <x:c r="G59" s="16" t="str">
        <x:v>待确认</x:v>
      </x:c>
      <x:c r="H59" s="16" t="str">
        <x:v>直接</x:v>
      </x:c>
      <x:c r="I59" s="16" t="str">
        <x:v>paper_measurement</x:v>
      </x:c>
      <x:c r="J59" s="16" t="str">
        <x:v>folding_endurance_raw</x:v>
      </x:c>
      <x:c r="K59" s="16" t="str">
        <x:v>保留原始数值精度并转换为NUMERIC</x:v>
      </x:c>
      <x:c r="L59" s="16" t="str">
        <x:v>空白、—或/转为NULL并记录质量告警</x:v>
      </x:c>
      <x:c r="M59" s="16" t="str">
        <x:v>数值且非负</x:v>
      </x:c>
      <x:c r="N59" s="16" t="str">
        <x:v>同sample_id已有记录时不得覆盖</x:v>
      </x:c>
      <x:c r="O59" s="16" t="str">
        <x:v>是</x:v>
      </x:c>
      <x:c r="P59" s="16" t="str">
        <x:v>单位状态见字段数据字典</x:v>
      </x:c>
    </x:row>
    <x:row r="60" ht="34" customHeight="1">
      <x:c r="A60" s="16" t="str">
        <x:v>M056</x:v>
      </x:c>
      <x:c r="B60" s="16" t="str">
        <x:v>针叶木-打浆转数-纸张性能(1).xlsx</x:v>
      </x:c>
      <x:c r="C60" s="16" t="str">
        <x:v>原始版</x:v>
      </x:c>
      <x:c r="D60" s="16" t="str">
        <x:v>Sheet1</x:v>
      </x:c>
      <x:c r="E60" s="22" t="n">
        <x:v>0</x:v>
      </x:c>
      <x:c r="F60" s="16" t="str">
        <x:v>〈实验规则〉</x:v>
      </x:c>
      <x:c r="G60" s="16" t="str">
        <x:v>次</x:v>
      </x:c>
      <x:c r="H60" s="16" t="str">
        <x:v>常量</x:v>
      </x:c>
      <x:c r="I60" s="16" t="str">
        <x:v>paper_measurement</x:v>
      </x:c>
      <x:c r="J60" s="16" t="str">
        <x:v>replicate_count</x:v>
      </x:c>
      <x:c r="K60" s="16" t="str">
        <x:v>固定写入3</x:v>
      </x:c>
      <x:c r="L60" s="16" t="str">
        <x:v>禁止为空</x:v>
      </x:c>
      <x:c r="M60" s="16" t="str">
        <x:v>等于3</x:v>
      </x:c>
      <x:c r="N60" s="16" t="str">
        <x:v>不从Excel重复计算</x:v>
      </x:c>
      <x:c r="O60" s="16" t="str">
        <x:v>是</x:v>
      </x:c>
      <x:c r="P60" s="16" t="str"/>
    </x:row>
    <x:row r="61" ht="34" customHeight="1">
      <x:c r="A61" s="16" t="str">
        <x:v>M057</x:v>
      </x:c>
      <x:c r="B61" s="16" t="str">
        <x:v>针叶木-打浆转数-纸张性能(1).xlsx</x:v>
      </x:c>
      <x:c r="C61" s="16" t="str">
        <x:v>原始版</x:v>
      </x:c>
      <x:c r="D61" s="16" t="str">
        <x:v>Sheet1</x:v>
      </x:c>
      <x:c r="E61" s="22" t="n">
        <x:v>0</x:v>
      </x:c>
      <x:c r="F61" s="16" t="str">
        <x:v>〈实验规则〉</x:v>
      </x:c>
      <x:c r="G61" s="16" t="str">
        <x:v>—</x:v>
      </x:c>
      <x:c r="H61" s="16" t="str">
        <x:v>常量</x:v>
      </x:c>
      <x:c r="I61" s="16" t="str">
        <x:v>paper_measurement</x:v>
      </x:c>
      <x:c r="J61" s="16" t="str">
        <x:v>aggregation_method</x:v>
      </x:c>
      <x:c r="K61" s="16" t="str">
        <x:v>固定写入“剔除偏差值后取最终均值”</x:v>
      </x:c>
      <x:c r="L61" s="16" t="str">
        <x:v>禁止为空</x:v>
      </x:c>
      <x:c r="M61" s="16" t="str">
        <x:v>非空</x:v>
      </x:c>
      <x:c r="N61" s="16" t="str">
        <x:v>源表数值按最终均值接收</x:v>
      </x:c>
      <x:c r="O61" s="16" t="str">
        <x:v>是</x:v>
      </x:c>
      <x:c r="P61" s="16" t="str"/>
    </x:row>
    <x:row r="62" ht="34" customHeight="1">
      <x:c r="A62" s="16" t="str">
        <x:v>M058</x:v>
      </x:c>
      <x:c r="B62" s="16" t="str">
        <x:v>针叶木-打浆转数-纸张性能(1).xlsx</x:v>
      </x:c>
      <x:c r="C62" s="16" t="str">
        <x:v>原始版</x:v>
      </x:c>
      <x:c r="D62" s="16" t="str">
        <x:v>Sheet1</x:v>
      </x:c>
      <x:c r="E62" s="22" t="n">
        <x:v>0</x:v>
      </x:c>
      <x:c r="F62" s="16" t="str">
        <x:v>〈当前来源行〉</x:v>
      </x:c>
      <x:c r="G62" s="16" t="str">
        <x:v>—</x:v>
      </x:c>
      <x:c r="H62" s="16" t="str">
        <x:v>关联</x:v>
      </x:c>
      <x:c r="I62" s="16" t="str">
        <x:v>paper_measurement</x:v>
      </x:c>
      <x:c r="J62" s="16" t="str">
        <x:v>source_id</x:v>
      </x:c>
      <x:c r="K62" s="16" t="str">
        <x:v>引用本行data_source.source_id</x:v>
      </x:c>
      <x:c r="L62" s="16" t="str">
        <x:v>禁止为空</x:v>
      </x:c>
      <x:c r="M62" s="16" t="str">
        <x:v>外键有效</x:v>
      </x:c>
      <x:c r="N62" s="16" t="str">
        <x:v>缺失来源不得入库</x:v>
      </x:c>
      <x:c r="O62" s="16" t="str">
        <x:v>是</x:v>
      </x:c>
      <x:c r="P62" s="16" t="str"/>
    </x:row>
    <x:row r="63" ht="34" customHeight="1">
      <x:c r="A63" s="16" t="str">
        <x:v>M059</x:v>
      </x:c>
      <x:c r="B63" s="16" t="str">
        <x:v>data1-阔叶木-打浆转数-打浆度(1).xlsx</x:v>
      </x:c>
      <x:c r="C63" s="16" t="str">
        <x:v>原始版</x:v>
      </x:c>
      <x:c r="D63" s="16" t="str">
        <x:v>Sheet1</x:v>
      </x:c>
      <x:c r="E63" s="22" t="n">
        <x:v>0</x:v>
      </x:c>
      <x:c r="F63" s="16" t="str">
        <x:v>〈文件名〉</x:v>
      </x:c>
      <x:c r="G63" s="16" t="str">
        <x:v>—</x:v>
      </x:c>
      <x:c r="H63" s="16" t="str">
        <x:v>来源元数据</x:v>
      </x:c>
      <x:c r="I63" s="16" t="str">
        <x:v>data_source</x:v>
      </x:c>
      <x:c r="J63" s="16" t="str">
        <x:v>file_name</x:v>
      </x:c>
      <x:c r="K63" s="16" t="str">
        <x:v>写入当前原始文件名</x:v>
      </x:c>
      <x:c r="L63" s="16" t="str">
        <x:v>禁止为空</x:v>
      </x:c>
      <x:c r="M63" s="16" t="str">
        <x:v>必须在正式来源白名单中</x:v>
      </x:c>
      <x:c r="N63" s="16" t="str">
        <x:v>旧复配版或汇总文件立即终止该批</x:v>
      </x:c>
      <x:c r="O63" s="16" t="str">
        <x:v>是</x:v>
      </x:c>
      <x:c r="P63" s="16" t="str"/>
    </x:row>
    <x:row r="64" ht="34" customHeight="1">
      <x:c r="A64" s="16" t="str">
        <x:v>M060</x:v>
      </x:c>
      <x:c r="B64" s="16" t="str">
        <x:v>data1-阔叶木-打浆转数-打浆度(1).xlsx</x:v>
      </x:c>
      <x:c r="C64" s="16" t="str">
        <x:v>原始版</x:v>
      </x:c>
      <x:c r="D64" s="16" t="str">
        <x:v>Sheet1</x:v>
      </x:c>
      <x:c r="E64" s="22" t="n">
        <x:v>0</x:v>
      </x:c>
      <x:c r="F64" s="16" t="str">
        <x:v>〈工作表名〉</x:v>
      </x:c>
      <x:c r="G64" s="16" t="str">
        <x:v>—</x:v>
      </x:c>
      <x:c r="H64" s="16" t="str">
        <x:v>来源元数据</x:v>
      </x:c>
      <x:c r="I64" s="16" t="str">
        <x:v>data_source</x:v>
      </x:c>
      <x:c r="J64" s="16" t="str">
        <x:v>sheet_name</x:v>
      </x:c>
      <x:c r="K64" s="16" t="str">
        <x:v>固定写入Sheet1</x:v>
      </x:c>
      <x:c r="L64" s="16" t="str">
        <x:v>禁止为空</x:v>
      </x:c>
      <x:c r="M64" s="16" t="str">
        <x:v>仅允许有效工作表Sheet1</x:v>
      </x:c>
      <x:c r="N64" s="16" t="str">
        <x:v>空白Sheet2/Sheet3不处理</x:v>
      </x:c>
      <x:c r="O64" s="16" t="str">
        <x:v>是</x:v>
      </x:c>
      <x:c r="P64" s="16" t="str"/>
    </x:row>
    <x:row r="65" ht="34" customHeight="1">
      <x:c r="A65" s="16" t="str">
        <x:v>M061</x:v>
      </x:c>
      <x:c r="B65" s="16" t="str">
        <x:v>data1-阔叶木-打浆转数-打浆度(1).xlsx</x:v>
      </x:c>
      <x:c r="C65" s="16" t="str">
        <x:v>原始版</x:v>
      </x:c>
      <x:c r="D65" s="16" t="str">
        <x:v>Sheet1</x:v>
      </x:c>
      <x:c r="E65" s="22" t="n">
        <x:v>0</x:v>
      </x:c>
      <x:c r="F65" s="16" t="str">
        <x:v>〈Excel行号〉</x:v>
      </x:c>
      <x:c r="G65" s="16" t="str">
        <x:v>行</x:v>
      </x:c>
      <x:c r="H65" s="16" t="str">
        <x:v>系统生成</x:v>
      </x:c>
      <x:c r="I65" s="16" t="str">
        <x:v>data_source</x:v>
      </x:c>
      <x:c r="J65" s="16" t="str">
        <x:v>source_row</x:v>
      </x:c>
      <x:c r="K65" s="16" t="str">
        <x:v>写入原始数据所在Excel实际行号</x:v>
      </x:c>
      <x:c r="L65" s="16" t="str">
        <x:v>禁止为空</x:v>
      </x:c>
      <x:c r="M65" s="16" t="str">
        <x:v>&gt;=2且为整数</x:v>
      </x:c>
      <x:c r="N65" s="16" t="str">
        <x:v>同文件、工作表、行号不得重复</x:v>
      </x:c>
      <x:c r="O65" s="16" t="str">
        <x:v>是</x:v>
      </x:c>
      <x:c r="P65" s="16" t="str"/>
    </x:row>
    <x:row r="66" ht="34" customHeight="1">
      <x:c r="A66" s="16" t="str">
        <x:v>M062</x:v>
      </x:c>
      <x:c r="B66" s="16" t="str">
        <x:v>data1-阔叶木-打浆转数-打浆度(1).xlsx</x:v>
      </x:c>
      <x:c r="C66" s="16" t="str">
        <x:v>原始版</x:v>
      </x:c>
      <x:c r="D66" s="16" t="str">
        <x:v>Sheet1</x:v>
      </x:c>
      <x:c r="E66" s="22" t="n">
        <x:v>0</x:v>
      </x:c>
      <x:c r="F66" s="16" t="str">
        <x:v>〈来源版本〉</x:v>
      </x:c>
      <x:c r="G66" s="16" t="str">
        <x:v>—</x:v>
      </x:c>
      <x:c r="H66" s="16" t="str">
        <x:v>文件上下文</x:v>
      </x:c>
      <x:c r="I66" s="16" t="str">
        <x:v>data_source</x:v>
      </x:c>
      <x:c r="J66" s="16" t="str">
        <x:v>source_version</x:v>
      </x:c>
      <x:c r="K66" s="16" t="str">
        <x:v>固定写入原始版</x:v>
      </x:c>
      <x:c r="L66" s="16" t="str">
        <x:v>禁止为空</x:v>
      </x:c>
      <x:c r="M66" s="16" t="str">
        <x:v>复配文件必须为0110</x:v>
      </x:c>
      <x:c r="N66" s="16" t="str">
        <x:v>旧版不得覆盖0110</x:v>
      </x:c>
      <x:c r="O66" s="16" t="str">
        <x:v>是</x:v>
      </x:c>
      <x:c r="P66" s="16" t="str"/>
    </x:row>
    <x:row r="67" ht="34" customHeight="1">
      <x:c r="A67" s="16" t="str">
        <x:v>M063</x:v>
      </x:c>
      <x:c r="B67" s="16" t="str">
        <x:v>data1-阔叶木-打浆转数-打浆度(1).xlsx</x:v>
      </x:c>
      <x:c r="C67" s="16" t="str">
        <x:v>原始版</x:v>
      </x:c>
      <x:c r="D67" s="16" t="str">
        <x:v>Sheet1</x:v>
      </x:c>
      <x:c r="E67" s="22" t="n">
        <x:v>0</x:v>
      </x:c>
      <x:c r="F67" s="16" t="str">
        <x:v>〈导入时间〉</x:v>
      </x:c>
      <x:c r="G67" s="16" t="str">
        <x:v>—</x:v>
      </x:c>
      <x:c r="H67" s="16" t="str">
        <x:v>系统生成</x:v>
      </x:c>
      <x:c r="I67" s="16" t="str">
        <x:v>data_source</x:v>
      </x:c>
      <x:c r="J67" s="16" t="str">
        <x:v>imported_at</x:v>
      </x:c>
      <x:c r="K67" s="16" t="str">
        <x:v>由PostgreSQL CURRENT_TIMESTAMP生成</x:v>
      </x:c>
      <x:c r="L67" s="16" t="str">
        <x:v>禁止为空</x:v>
      </x:c>
      <x:c r="M67" s="16" t="str">
        <x:v>TIMESTAMPTZ有效值</x:v>
      </x:c>
      <x:c r="N67" s="16" t="str">
        <x:v>不从Excel读取</x:v>
      </x:c>
      <x:c r="O67" s="16" t="str">
        <x:v>是</x:v>
      </x:c>
      <x:c r="P67" s="16" t="str"/>
    </x:row>
    <x:row r="68" ht="34" customHeight="1">
      <x:c r="A68" s="16" t="str">
        <x:v>M064</x:v>
      </x:c>
      <x:c r="B68" s="16" t="str">
        <x:v>data1-阔叶木-打浆转数-打浆度(1).xlsx</x:v>
      </x:c>
      <x:c r="C68" s="16" t="str">
        <x:v>原始版</x:v>
      </x:c>
      <x:c r="D68" s="16" t="str">
        <x:v>Sheet1</x:v>
      </x:c>
      <x:c r="E68" s="22" t="n">
        <x:v>1</x:v>
      </x:c>
      <x:c r="F68" s="16" t="str">
        <x:v>序号</x:v>
      </x:c>
      <x:c r="G68" s="16" t="str">
        <x:v>—</x:v>
      </x:c>
      <x:c r="H68" s="16" t="str">
        <x:v>直接/生成</x:v>
      </x:c>
      <x:c r="I68" s="16" t="str">
        <x:v>experiment_sample</x:v>
      </x:c>
      <x:c r="J68" s="16" t="str">
        <x:v>display_code</x:v>
      </x:c>
      <x:c r="K68" s="16" t="str">
        <x:v>转为文本作为实验内编号</x:v>
      </x:c>
      <x:c r="L68" s="16" t="str">
        <x:v>禁止为空</x:v>
      </x:c>
      <x:c r="M68" s="16" t="str">
        <x:v>正整数且实验内唯一</x:v>
      </x:c>
      <x:c r="N68" s="16" t="str">
        <x:v>打浆度文件为展示点权威来源</x:v>
      </x:c>
      <x:c r="O68" s="16" t="str">
        <x:v>是</x:v>
      </x:c>
      <x:c r="P68" s="16" t="str"/>
    </x:row>
    <x:row r="69" ht="34" customHeight="1">
      <x:c r="A69" s="16" t="str">
        <x:v>M065</x:v>
      </x:c>
      <x:c r="B69" s="16" t="str">
        <x:v>data1-阔叶木-打浆转数-打浆度(1).xlsx</x:v>
      </x:c>
      <x:c r="C69" s="16" t="str">
        <x:v>原始版</x:v>
      </x:c>
      <x:c r="D69" s="16" t="str">
        <x:v>Sheet1</x:v>
      </x:c>
      <x:c r="E69" s="22" t="n">
        <x:v>1</x:v>
      </x:c>
      <x:c r="F69" s="16" t="str">
        <x:v>序号</x:v>
      </x:c>
      <x:c r="G69" s="16" t="str">
        <x:v>—</x:v>
      </x:c>
      <x:c r="H69" s="16" t="str">
        <x:v>直接</x:v>
      </x:c>
      <x:c r="I69" s="16" t="str">
        <x:v>experiment_sample</x:v>
      </x:c>
      <x:c r="J69" s="16" t="str">
        <x:v>display_order</x:v>
      </x:c>
      <x:c r="K69" s="16" t="str">
        <x:v>转为整数</x:v>
      </x:c>
      <x:c r="L69" s="16" t="str">
        <x:v>禁止为空</x:v>
      </x:c>
      <x:c r="M69" s="16" t="str">
        <x:v>&gt;0且连续递增</x:v>
      </x:c>
      <x:c r="N69" s="16" t="str">
        <x:v>与display_code顺序一致</x:v>
      </x:c>
      <x:c r="O69" s="16" t="str">
        <x:v>是</x:v>
      </x:c>
      <x:c r="P69" s="16" t="str"/>
    </x:row>
    <x:row r="70" ht="34" customHeight="1">
      <x:c r="A70" s="16" t="str">
        <x:v>M066</x:v>
      </x:c>
      <x:c r="B70" s="16" t="str">
        <x:v>data1-阔叶木-打浆转数-打浆度(1).xlsx</x:v>
      </x:c>
      <x:c r="C70" s="16" t="str">
        <x:v>原始版</x:v>
      </x:c>
      <x:c r="D70" s="16" t="str">
        <x:v>Sheet1</x:v>
      </x:c>
      <x:c r="E70" s="22" t="n">
        <x:v>2</x:v>
      </x:c>
      <x:c r="F70" s="16" t="str">
        <x:v>打浆转数/r</x:v>
      </x:c>
      <x:c r="G70" s="16" t="str">
        <x:v>r</x:v>
      </x:c>
      <x:c r="H70" s="16" t="str">
        <x:v>直接</x:v>
      </x:c>
      <x:c r="I70" s="16" t="str">
        <x:v>sample_component</x:v>
      </x:c>
      <x:c r="J70" s="16" t="str">
        <x:v>beating_revolutions</x:v>
      </x:c>
      <x:c r="K70" s="16" t="str">
        <x:v>转为整数</x:v>
      </x:c>
      <x:c r="L70" s="16" t="str">
        <x:v>禁止为空</x:v>
      </x:c>
      <x:c r="M70" s="16" t="str">
        <x:v>&gt;=0</x:v>
      </x:c>
      <x:c r="N70" s="16" t="str">
        <x:v>同材种同转数只能定位一个样本</x:v>
      </x:c>
      <x:c r="O70" s="16" t="str">
        <x:v>是</x:v>
      </x:c>
      <x:c r="P70" s="16" t="str"/>
    </x:row>
    <x:row r="71" ht="34" customHeight="1">
      <x:c r="A71" s="16" t="str">
        <x:v>M067</x:v>
      </x:c>
      <x:c r="B71" s="16" t="str">
        <x:v>data1-阔叶木-打浆转数-打浆度(1).xlsx</x:v>
      </x:c>
      <x:c r="C71" s="16" t="str">
        <x:v>原始版</x:v>
      </x:c>
      <x:c r="D71" s="16" t="str">
        <x:v>Sheet1</x:v>
      </x:c>
      <x:c r="E71" s="22" t="n">
        <x:v>3</x:v>
      </x:c>
      <x:c r="F71" s="16" t="str">
        <x:v>打浆度/°SR</x:v>
      </x:c>
      <x:c r="G71" s="16" t="str">
        <x:v>°SR</x:v>
      </x:c>
      <x:c r="H71" s="16" t="str">
        <x:v>直接</x:v>
      </x:c>
      <x:c r="I71" s="16" t="str">
        <x:v>sample_component</x:v>
      </x:c>
      <x:c r="J71" s="16" t="str">
        <x:v>beating_degree_sr</x:v>
      </x:c>
      <x:c r="K71" s="16" t="str">
        <x:v>转为NUMERIC(5,1)</x:v>
      </x:c>
      <x:c r="L71" s="16" t="str">
        <x:v>禁止为空</x:v>
      </x:c>
      <x:c r="M71" s="16" t="str">
        <x:v>&gt;=0</x:v>
      </x:c>
      <x:c r="N71" s="16" t="str">
        <x:v>打浆度文件为权威值</x:v>
      </x:c>
      <x:c r="O71" s="16" t="str">
        <x:v>是</x:v>
      </x:c>
      <x:c r="P71" s="16" t="str"/>
    </x:row>
    <x:row r="72" ht="34" customHeight="1">
      <x:c r="A72" s="16" t="str">
        <x:v>M068</x:v>
      </x:c>
      <x:c r="B72" s="16" t="str">
        <x:v>data1-阔叶木-打浆转数-打浆度(1).xlsx</x:v>
      </x:c>
      <x:c r="C72" s="16" t="str">
        <x:v>原始版</x:v>
      </x:c>
      <x:c r="D72" s="16" t="str">
        <x:v>Sheet1</x:v>
      </x:c>
      <x:c r="E72" s="22" t="n">
        <x:v>0</x:v>
      </x:c>
      <x:c r="F72" s="16" t="str">
        <x:v>〈材种+打浆转数〉</x:v>
      </x:c>
      <x:c r="G72" s="16" t="str">
        <x:v>—</x:v>
      </x:c>
      <x:c r="H72" s="16" t="str">
        <x:v>派生</x:v>
      </x:c>
      <x:c r="I72" s="16" t="str">
        <x:v>sample</x:v>
      </x:c>
      <x:c r="J72" s="16" t="str">
        <x:v>canonical_code</x:v>
      </x:c>
      <x:c r="K72" s="16" t="str">
        <x:v>生成HW_R{转数5位补零}</x:v>
      </x:c>
      <x:c r="L72" s="16" t="str">
        <x:v>禁止为空</x:v>
      </x:c>
      <x:c r="M72" s="16" t="str">
        <x:v>全库唯一</x:v>
      </x:c>
      <x:c r="N72" s="16" t="str">
        <x:v>已存在则复用，不新建重复样本</x:v>
      </x:c>
      <x:c r="O72" s="16" t="str">
        <x:v>是</x:v>
      </x:c>
      <x:c r="P72" s="16" t="str"/>
    </x:row>
    <x:row r="73" ht="34" customHeight="1">
      <x:c r="A73" s="16" t="str">
        <x:v>M069</x:v>
      </x:c>
      <x:c r="B73" s="16" t="str">
        <x:v>data1-阔叶木-打浆转数-打浆度(1).xlsx</x:v>
      </x:c>
      <x:c r="C73" s="16" t="str">
        <x:v>原始版</x:v>
      </x:c>
      <x:c r="D73" s="16" t="str">
        <x:v>Sheet1</x:v>
      </x:c>
      <x:c r="E73" s="22" t="n">
        <x:v>0</x:v>
      </x:c>
      <x:c r="F73" s="16" t="str">
        <x:v>〈材种上下文〉</x:v>
      </x:c>
      <x:c r="G73" s="16" t="str">
        <x:v>—</x:v>
      </x:c>
      <x:c r="H73" s="16" t="str">
        <x:v>常量</x:v>
      </x:c>
      <x:c r="I73" s="16" t="str">
        <x:v>sample</x:v>
      </x:c>
      <x:c r="J73" s="16" t="str">
        <x:v>sample_type</x:v>
      </x:c>
      <x:c r="K73" s="16" t="str">
        <x:v>固定写入hardwood</x:v>
      </x:c>
      <x:c r="L73" s="16" t="str">
        <x:v>禁止为空</x:v>
      </x:c>
      <x:c r="M73" s="16" t="str">
        <x:v>枚举值合法</x:v>
      </x:c>
      <x:c r="N73" s="16" t="str">
        <x:v>不得由文件名以外信息覆盖</x:v>
      </x:c>
      <x:c r="O73" s="16" t="str">
        <x:v>是</x:v>
      </x:c>
      <x:c r="P73" s="16" t="str"/>
    </x:row>
    <x:row r="74" ht="34" customHeight="1">
      <x:c r="A74" s="16" t="str">
        <x:v>M070</x:v>
      </x:c>
      <x:c r="B74" s="16" t="str">
        <x:v>data1-阔叶木-打浆转数-打浆度(1).xlsx</x:v>
      </x:c>
      <x:c r="C74" s="16" t="str">
        <x:v>原始版</x:v>
      </x:c>
      <x:c r="D74" s="16" t="str">
        <x:v>Sheet1</x:v>
      </x:c>
      <x:c r="E74" s="22" t="n">
        <x:v>0</x:v>
      </x:c>
      <x:c r="F74" s="16" t="str">
        <x:v>〈材种+打浆转数〉</x:v>
      </x:c>
      <x:c r="G74" s="16" t="str">
        <x:v>—</x:v>
      </x:c>
      <x:c r="H74" s="16" t="str">
        <x:v>派生</x:v>
      </x:c>
      <x:c r="I74" s="16" t="str">
        <x:v>sample</x:v>
      </x:c>
      <x:c r="J74" s="16" t="str">
        <x:v>display_name</x:v>
      </x:c>
      <x:c r="K74" s="16" t="str">
        <x:v>生成阔叶木浆-{转数}r</x:v>
      </x:c>
      <x:c r="L74" s="16" t="str">
        <x:v>禁止为空</x:v>
      </x:c>
      <x:c r="M74" s="16" t="str">
        <x:v>长度不超过100字符</x:v>
      </x:c>
      <x:c r="N74" s="16" t="str">
        <x:v>同canonical_code更新显示名需人工确认</x:v>
      </x:c>
      <x:c r="O74" s="16" t="str">
        <x:v>是</x:v>
      </x:c>
      <x:c r="P74" s="16" t="str"/>
    </x:row>
    <x:row r="75" ht="34" customHeight="1">
      <x:c r="A75" s="16" t="str">
        <x:v>M071</x:v>
      </x:c>
      <x:c r="B75" s="16" t="str">
        <x:v>data1-阔叶木-打浆转数-打浆度(1).xlsx</x:v>
      </x:c>
      <x:c r="C75" s="16" t="str">
        <x:v>原始版</x:v>
      </x:c>
      <x:c r="D75" s="16" t="str">
        <x:v>Sheet1</x:v>
      </x:c>
      <x:c r="E75" s="22" t="n">
        <x:v>0</x:v>
      </x:c>
      <x:c r="F75" s="16" t="str">
        <x:v>〈实验上下文〉</x:v>
      </x:c>
      <x:c r="G75" s="16" t="str">
        <x:v>—</x:v>
      </x:c>
      <x:c r="H75" s="16" t="str">
        <x:v>常量/查找</x:v>
      </x:c>
      <x:c r="I75" s="16" t="str">
        <x:v>experiment_sample</x:v>
      </x:c>
      <x:c r="J75" s="16" t="str">
        <x:v>experiment_id</x:v>
      </x:c>
      <x:c r="K75" s="16" t="str">
        <x:v>按experiment_code=HW_BEATING查找</x:v>
      </x:c>
      <x:c r="L75" s="16" t="str">
        <x:v>禁止为空</x:v>
      </x:c>
      <x:c r="M75" s="16" t="str">
        <x:v>必须命中一个实验</x:v>
      </x:c>
      <x:c r="N75" s="16" t="str">
        <x:v>禁止自动创建未知实验</x:v>
      </x:c>
      <x:c r="O75" s="16" t="str">
        <x:v>是</x:v>
      </x:c>
      <x:c r="P75" s="16" t="str"/>
    </x:row>
    <x:row r="76" ht="34" customHeight="1">
      <x:c r="A76" s="16" t="str">
        <x:v>M072</x:v>
      </x:c>
      <x:c r="B76" s="16" t="str">
        <x:v>data1-阔叶木-打浆转数-打浆度(1).xlsx</x:v>
      </x:c>
      <x:c r="C76" s="16" t="str">
        <x:v>原始版</x:v>
      </x:c>
      <x:c r="D76" s="16" t="str">
        <x:v>Sheet1</x:v>
      </x:c>
      <x:c r="E76" s="22" t="n">
        <x:v>0</x:v>
      </x:c>
      <x:c r="F76" s="16" t="str">
        <x:v>〈标准样本代码〉</x:v>
      </x:c>
      <x:c r="G76" s="16" t="str">
        <x:v>—</x:v>
      </x:c>
      <x:c r="H76" s="16" t="str">
        <x:v>查找</x:v>
      </x:c>
      <x:c r="I76" s="16" t="str">
        <x:v>experiment_sample</x:v>
      </x:c>
      <x:c r="J76" s="16" t="str">
        <x:v>sample_id</x:v>
      </x:c>
      <x:c r="K76" s="16" t="str">
        <x:v>按canonical_code查找或创建后取得sample_id</x:v>
      </x:c>
      <x:c r="L76" s="16" t="str">
        <x:v>禁止为空</x:v>
      </x:c>
      <x:c r="M76" s="16" t="str">
        <x:v>必须命中一个样本</x:v>
      </x:c>
      <x:c r="N76" s="16" t="str">
        <x:v>失败则整批回滚</x:v>
      </x:c>
      <x:c r="O76" s="16" t="str">
        <x:v>是</x:v>
      </x:c>
      <x:c r="P76" s="16" t="str"/>
    </x:row>
    <x:row r="77" ht="34" customHeight="1">
      <x:c r="A77" s="16" t="str">
        <x:v>M073</x:v>
      </x:c>
      <x:c r="B77" s="16" t="str">
        <x:v>data1-阔叶木-打浆转数-打浆度(1).xlsx</x:v>
      </x:c>
      <x:c r="C77" s="16" t="str">
        <x:v>原始版</x:v>
      </x:c>
      <x:c r="D77" s="16" t="str">
        <x:v>Sheet1</x:v>
      </x:c>
      <x:c r="E77" s="22" t="n">
        <x:v>0</x:v>
      </x:c>
      <x:c r="F77" s="16" t="str">
        <x:v>〈当前来源行〉</x:v>
      </x:c>
      <x:c r="G77" s="16" t="str">
        <x:v>—</x:v>
      </x:c>
      <x:c r="H77" s="16" t="str">
        <x:v>关联</x:v>
      </x:c>
      <x:c r="I77" s="16" t="str">
        <x:v>experiment_sample</x:v>
      </x:c>
      <x:c r="J77" s="16" t="str">
        <x:v>source_id</x:v>
      </x:c>
      <x:c r="K77" s="16" t="str">
        <x:v>引用本行data_source.source_id</x:v>
      </x:c>
      <x:c r="L77" s="16" t="str">
        <x:v>禁止为空</x:v>
      </x:c>
      <x:c r="M77" s="16" t="str">
        <x:v>外键有效</x:v>
      </x:c>
      <x:c r="N77" s="16" t="str">
        <x:v>缺失来源不得入库</x:v>
      </x:c>
      <x:c r="O77" s="16" t="str">
        <x:v>是</x:v>
      </x:c>
      <x:c r="P77" s="16" t="str"/>
    </x:row>
    <x:row r="78" ht="34" customHeight="1">
      <x:c r="A78" s="16" t="str">
        <x:v>M074</x:v>
      </x:c>
      <x:c r="B78" s="16" t="str">
        <x:v>data1-阔叶木-打浆转数-打浆度(1).xlsx</x:v>
      </x:c>
      <x:c r="C78" s="16" t="str">
        <x:v>原始版</x:v>
      </x:c>
      <x:c r="D78" s="16" t="str">
        <x:v>Sheet1</x:v>
      </x:c>
      <x:c r="E78" s="22" t="n">
        <x:v>0</x:v>
      </x:c>
      <x:c r="F78" s="16" t="str">
        <x:v>〈标准样本代码〉</x:v>
      </x:c>
      <x:c r="G78" s="16" t="str">
        <x:v>—</x:v>
      </x:c>
      <x:c r="H78" s="16" t="str">
        <x:v>查找</x:v>
      </x:c>
      <x:c r="I78" s="16" t="str">
        <x:v>sample_component</x:v>
      </x:c>
      <x:c r="J78" s="16" t="str">
        <x:v>sample_id</x:v>
      </x:c>
      <x:c r="K78" s="16" t="str">
        <x:v>引用本行对应sample.sample_id</x:v>
      </x:c>
      <x:c r="L78" s="16" t="str">
        <x:v>禁止为空</x:v>
      </x:c>
      <x:c r="M78" s="16" t="str">
        <x:v>外键有效</x:v>
      </x:c>
      <x:c r="N78" s="16" t="str">
        <x:v>失败则整批回滚</x:v>
      </x:c>
      <x:c r="O78" s="16" t="str">
        <x:v>是</x:v>
      </x:c>
      <x:c r="P78" s="16" t="str"/>
    </x:row>
    <x:row r="79" ht="34" customHeight="1">
      <x:c r="A79" s="16" t="str">
        <x:v>M075</x:v>
      </x:c>
      <x:c r="B79" s="16" t="str">
        <x:v>data1-阔叶木-打浆转数-打浆度(1).xlsx</x:v>
      </x:c>
      <x:c r="C79" s="16" t="str">
        <x:v>原始版</x:v>
      </x:c>
      <x:c r="D79" s="16" t="str">
        <x:v>Sheet1</x:v>
      </x:c>
      <x:c r="E79" s="22" t="n">
        <x:v>0</x:v>
      </x:c>
      <x:c r="F79" s="16" t="str">
        <x:v>〈材种上下文〉</x:v>
      </x:c>
      <x:c r="G79" s="16" t="str">
        <x:v>—</x:v>
      </x:c>
      <x:c r="H79" s="16" t="str">
        <x:v>查找</x:v>
      </x:c>
      <x:c r="I79" s="16" t="str">
        <x:v>sample_component</x:v>
      </x:c>
      <x:c r="J79" s="16" t="str">
        <x:v>material_id</x:v>
      </x:c>
      <x:c r="K79" s="16" t="str">
        <x:v>按material_code=HW查找</x:v>
      </x:c>
      <x:c r="L79" s="16" t="str">
        <x:v>禁止为空</x:v>
      </x:c>
      <x:c r="M79" s="16" t="str">
        <x:v>必须命中SW或HW</x:v>
      </x:c>
      <x:c r="N79" s="16" t="str">
        <x:v>禁止自动创建未知原料</x:v>
      </x:c>
      <x:c r="O79" s="16" t="str">
        <x:v>是</x:v>
      </x:c>
      <x:c r="P79" s="16" t="str"/>
    </x:row>
    <x:row r="80" ht="34" customHeight="1">
      <x:c r="A80" s="16" t="str">
        <x:v>M076</x:v>
      </x:c>
      <x:c r="B80" s="16" t="str">
        <x:v>data1-阔叶木-打浆转数-打浆度(1).xlsx</x:v>
      </x:c>
      <x:c r="C80" s="16" t="str">
        <x:v>原始版</x:v>
      </x:c>
      <x:c r="D80" s="16" t="str">
        <x:v>Sheet1</x:v>
      </x:c>
      <x:c r="E80" s="22" t="n">
        <x:v>0</x:v>
      </x:c>
      <x:c r="F80" s="16" t="str">
        <x:v>〈纯浆常量〉</x:v>
      </x:c>
      <x:c r="G80" s="16" t="str">
        <x:v>%</x:v>
      </x:c>
      <x:c r="H80" s="16" t="str">
        <x:v>常量</x:v>
      </x:c>
      <x:c r="I80" s="16" t="str">
        <x:v>sample_component</x:v>
      </x:c>
      <x:c r="J80" s="16" t="str">
        <x:v>proportion_pct</x:v>
      </x:c>
      <x:c r="K80" s="16" t="str">
        <x:v>固定写入100</x:v>
      </x:c>
      <x:c r="L80" s="16" t="str">
        <x:v>禁止为空</x:v>
      </x:c>
      <x:c r="M80" s="16" t="str">
        <x:v>等于100</x:v>
      </x:c>
      <x:c r="N80" s="16" t="str">
        <x:v>纯浆不得写入第二组分</x:v>
      </x:c>
      <x:c r="O80" s="16" t="str">
        <x:v>是</x:v>
      </x:c>
      <x:c r="P80" s="16" t="str"/>
    </x:row>
    <x:row r="81" ht="34" customHeight="1">
      <x:c r="A81" s="16" t="str">
        <x:v>M077</x:v>
      </x:c>
      <x:c r="B81" s="16" t="str">
        <x:v>data1-阔叶木-打浆转数-打浆度(1).xlsx</x:v>
      </x:c>
      <x:c r="C81" s="16" t="str">
        <x:v>原始版</x:v>
      </x:c>
      <x:c r="D81" s="16" t="str">
        <x:v>Sheet1</x:v>
      </x:c>
      <x:c r="E81" s="22" t="n">
        <x:v>0</x:v>
      </x:c>
      <x:c r="F81" s="16" t="str">
        <x:v>〈当前来源行〉</x:v>
      </x:c>
      <x:c r="G81" s="16" t="str">
        <x:v>—</x:v>
      </x:c>
      <x:c r="H81" s="16" t="str">
        <x:v>关联</x:v>
      </x:c>
      <x:c r="I81" s="16" t="str">
        <x:v>sample_component</x:v>
      </x:c>
      <x:c r="J81" s="16" t="str">
        <x:v>source_id</x:v>
      </x:c>
      <x:c r="K81" s="16" t="str">
        <x:v>引用本行data_source.source_id</x:v>
      </x:c>
      <x:c r="L81" s="16" t="str">
        <x:v>禁止为空</x:v>
      </x:c>
      <x:c r="M81" s="16" t="str">
        <x:v>外键有效</x:v>
      </x:c>
      <x:c r="N81" s="16" t="str">
        <x:v>缺失来源不得入库</x:v>
      </x:c>
      <x:c r="O81" s="16" t="str">
        <x:v>是</x:v>
      </x:c>
      <x:c r="P81" s="16" t="str"/>
    </x:row>
    <x:row r="82" ht="34" customHeight="1">
      <x:c r="A82" s="16" t="str">
        <x:v>M078</x:v>
      </x:c>
      <x:c r="B82" s="16" t="str">
        <x:v>data2-阔叶木-打浆转数-纤维特性(1).xlsx</x:v>
      </x:c>
      <x:c r="C82" s="16" t="str">
        <x:v>原始版</x:v>
      </x:c>
      <x:c r="D82" s="16" t="str">
        <x:v>Sheet1</x:v>
      </x:c>
      <x:c r="E82" s="22" t="n">
        <x:v>0</x:v>
      </x:c>
      <x:c r="F82" s="16" t="str">
        <x:v>〈文件名〉</x:v>
      </x:c>
      <x:c r="G82" s="16" t="str">
        <x:v>—</x:v>
      </x:c>
      <x:c r="H82" s="16" t="str">
        <x:v>来源元数据</x:v>
      </x:c>
      <x:c r="I82" s="16" t="str">
        <x:v>data_source</x:v>
      </x:c>
      <x:c r="J82" s="16" t="str">
        <x:v>file_name</x:v>
      </x:c>
      <x:c r="K82" s="16" t="str">
        <x:v>写入当前原始文件名</x:v>
      </x:c>
      <x:c r="L82" s="16" t="str">
        <x:v>禁止为空</x:v>
      </x:c>
      <x:c r="M82" s="16" t="str">
        <x:v>必须在正式来源白名单中</x:v>
      </x:c>
      <x:c r="N82" s="16" t="str">
        <x:v>旧复配版或汇总文件立即终止该批</x:v>
      </x:c>
      <x:c r="O82" s="16" t="str">
        <x:v>是</x:v>
      </x:c>
      <x:c r="P82" s="16" t="str"/>
    </x:row>
    <x:row r="83" ht="34" customHeight="1">
      <x:c r="A83" s="16" t="str">
        <x:v>M079</x:v>
      </x:c>
      <x:c r="B83" s="16" t="str">
        <x:v>data2-阔叶木-打浆转数-纤维特性(1).xlsx</x:v>
      </x:c>
      <x:c r="C83" s="16" t="str">
        <x:v>原始版</x:v>
      </x:c>
      <x:c r="D83" s="16" t="str">
        <x:v>Sheet1</x:v>
      </x:c>
      <x:c r="E83" s="22" t="n">
        <x:v>0</x:v>
      </x:c>
      <x:c r="F83" s="16" t="str">
        <x:v>〈工作表名〉</x:v>
      </x:c>
      <x:c r="G83" s="16" t="str">
        <x:v>—</x:v>
      </x:c>
      <x:c r="H83" s="16" t="str">
        <x:v>来源元数据</x:v>
      </x:c>
      <x:c r="I83" s="16" t="str">
        <x:v>data_source</x:v>
      </x:c>
      <x:c r="J83" s="16" t="str">
        <x:v>sheet_name</x:v>
      </x:c>
      <x:c r="K83" s="16" t="str">
        <x:v>固定写入Sheet1</x:v>
      </x:c>
      <x:c r="L83" s="16" t="str">
        <x:v>禁止为空</x:v>
      </x:c>
      <x:c r="M83" s="16" t="str">
        <x:v>仅允许有效工作表Sheet1</x:v>
      </x:c>
      <x:c r="N83" s="16" t="str">
        <x:v>空白Sheet2/Sheet3不处理</x:v>
      </x:c>
      <x:c r="O83" s="16" t="str">
        <x:v>是</x:v>
      </x:c>
      <x:c r="P83" s="16" t="str"/>
    </x:row>
    <x:row r="84" ht="34" customHeight="1">
      <x:c r="A84" s="16" t="str">
        <x:v>M080</x:v>
      </x:c>
      <x:c r="B84" s="16" t="str">
        <x:v>data2-阔叶木-打浆转数-纤维特性(1).xlsx</x:v>
      </x:c>
      <x:c r="C84" s="16" t="str">
        <x:v>原始版</x:v>
      </x:c>
      <x:c r="D84" s="16" t="str">
        <x:v>Sheet1</x:v>
      </x:c>
      <x:c r="E84" s="22" t="n">
        <x:v>0</x:v>
      </x:c>
      <x:c r="F84" s="16" t="str">
        <x:v>〈Excel行号〉</x:v>
      </x:c>
      <x:c r="G84" s="16" t="str">
        <x:v>行</x:v>
      </x:c>
      <x:c r="H84" s="16" t="str">
        <x:v>系统生成</x:v>
      </x:c>
      <x:c r="I84" s="16" t="str">
        <x:v>data_source</x:v>
      </x:c>
      <x:c r="J84" s="16" t="str">
        <x:v>source_row</x:v>
      </x:c>
      <x:c r="K84" s="16" t="str">
        <x:v>写入原始数据所在Excel实际行号</x:v>
      </x:c>
      <x:c r="L84" s="16" t="str">
        <x:v>禁止为空</x:v>
      </x:c>
      <x:c r="M84" s="16" t="str">
        <x:v>&gt;=2且为整数</x:v>
      </x:c>
      <x:c r="N84" s="16" t="str">
        <x:v>同文件、工作表、行号不得重复</x:v>
      </x:c>
      <x:c r="O84" s="16" t="str">
        <x:v>是</x:v>
      </x:c>
      <x:c r="P84" s="16" t="str"/>
    </x:row>
    <x:row r="85" ht="34" customHeight="1">
      <x:c r="A85" s="16" t="str">
        <x:v>M081</x:v>
      </x:c>
      <x:c r="B85" s="16" t="str">
        <x:v>data2-阔叶木-打浆转数-纤维特性(1).xlsx</x:v>
      </x:c>
      <x:c r="C85" s="16" t="str">
        <x:v>原始版</x:v>
      </x:c>
      <x:c r="D85" s="16" t="str">
        <x:v>Sheet1</x:v>
      </x:c>
      <x:c r="E85" s="22" t="n">
        <x:v>0</x:v>
      </x:c>
      <x:c r="F85" s="16" t="str">
        <x:v>〈来源版本〉</x:v>
      </x:c>
      <x:c r="G85" s="16" t="str">
        <x:v>—</x:v>
      </x:c>
      <x:c r="H85" s="16" t="str">
        <x:v>文件上下文</x:v>
      </x:c>
      <x:c r="I85" s="16" t="str">
        <x:v>data_source</x:v>
      </x:c>
      <x:c r="J85" s="16" t="str">
        <x:v>source_version</x:v>
      </x:c>
      <x:c r="K85" s="16" t="str">
        <x:v>固定写入原始版</x:v>
      </x:c>
      <x:c r="L85" s="16" t="str">
        <x:v>禁止为空</x:v>
      </x:c>
      <x:c r="M85" s="16" t="str">
        <x:v>复配文件必须为0110</x:v>
      </x:c>
      <x:c r="N85" s="16" t="str">
        <x:v>旧版不得覆盖0110</x:v>
      </x:c>
      <x:c r="O85" s="16" t="str">
        <x:v>是</x:v>
      </x:c>
      <x:c r="P85" s="16" t="str"/>
    </x:row>
    <x:row r="86" ht="34" customHeight="1">
      <x:c r="A86" s="16" t="str">
        <x:v>M082</x:v>
      </x:c>
      <x:c r="B86" s="16" t="str">
        <x:v>data2-阔叶木-打浆转数-纤维特性(1).xlsx</x:v>
      </x:c>
      <x:c r="C86" s="16" t="str">
        <x:v>原始版</x:v>
      </x:c>
      <x:c r="D86" s="16" t="str">
        <x:v>Sheet1</x:v>
      </x:c>
      <x:c r="E86" s="22" t="n">
        <x:v>0</x:v>
      </x:c>
      <x:c r="F86" s="16" t="str">
        <x:v>〈导入时间〉</x:v>
      </x:c>
      <x:c r="G86" s="16" t="str">
        <x:v>—</x:v>
      </x:c>
      <x:c r="H86" s="16" t="str">
        <x:v>系统生成</x:v>
      </x:c>
      <x:c r="I86" s="16" t="str">
        <x:v>data_source</x:v>
      </x:c>
      <x:c r="J86" s="16" t="str">
        <x:v>imported_at</x:v>
      </x:c>
      <x:c r="K86" s="16" t="str">
        <x:v>由PostgreSQL CURRENT_TIMESTAMP生成</x:v>
      </x:c>
      <x:c r="L86" s="16" t="str">
        <x:v>禁止为空</x:v>
      </x:c>
      <x:c r="M86" s="16" t="str">
        <x:v>TIMESTAMPTZ有效值</x:v>
      </x:c>
      <x:c r="N86" s="16" t="str">
        <x:v>不从Excel读取</x:v>
      </x:c>
      <x:c r="O86" s="16" t="str">
        <x:v>是</x:v>
      </x:c>
      <x:c r="P86" s="16" t="str"/>
    </x:row>
    <x:row r="87" ht="34" customHeight="1">
      <x:c r="A87" s="16" t="str">
        <x:v>M083</x:v>
      </x:c>
      <x:c r="B87" s="16" t="str">
        <x:v>data2-阔叶木-打浆转数-纤维特性(1).xlsx</x:v>
      </x:c>
      <x:c r="C87" s="16" t="str">
        <x:v>原始版</x:v>
      </x:c>
      <x:c r="D87" s="16" t="str">
        <x:v>Sheet1</x:v>
      </x:c>
      <x:c r="E87" s="22" t="n">
        <x:v>1</x:v>
      </x:c>
      <x:c r="F87" s="16" t="str">
        <x:v>序号</x:v>
      </x:c>
      <x:c r="G87" s="16" t="str">
        <x:v>—</x:v>
      </x:c>
      <x:c r="H87" s="16" t="str">
        <x:v>校验键</x:v>
      </x:c>
      <x:c r="I87" s="16" t="str">
        <x:v>experiment_sample</x:v>
      </x:c>
      <x:c r="J87" s="16" t="str">
        <x:v>display_order</x:v>
      </x:c>
      <x:c r="K87" s="16" t="str">
        <x:v>仅用于核对行顺序，不覆盖打浆度文件</x:v>
      </x:c>
      <x:c r="L87" s="16" t="str">
        <x:v>禁止为空</x:v>
      </x:c>
      <x:c r="M87" s="16" t="str">
        <x:v>正整数</x:v>
      </x:c>
      <x:c r="N87" s="16" t="str">
        <x:v>不一致时终止该批</x:v>
      </x:c>
      <x:c r="O87" s="16" t="str">
        <x:v>是</x:v>
      </x:c>
      <x:c r="P87" s="16" t="str"/>
    </x:row>
    <x:row r="88" ht="34" customHeight="1">
      <x:c r="A88" s="16" t="str">
        <x:v>M084</x:v>
      </x:c>
      <x:c r="B88" s="16" t="str">
        <x:v>data2-阔叶木-打浆转数-纤维特性(1).xlsx</x:v>
      </x:c>
      <x:c r="C88" s="16" t="str">
        <x:v>原始版</x:v>
      </x:c>
      <x:c r="D88" s="16" t="str">
        <x:v>Sheet1</x:v>
      </x:c>
      <x:c r="E88" s="22" t="n">
        <x:v>2</x:v>
      </x:c>
      <x:c r="F88" s="16" t="str">
        <x:v>打浆转数/r</x:v>
      </x:c>
      <x:c r="G88" s="16" t="str">
        <x:v>r</x:v>
      </x:c>
      <x:c r="H88" s="16" t="str">
        <x:v>关联键</x:v>
      </x:c>
      <x:c r="I88" s="16" t="str">
        <x:v>fiber_measurement</x:v>
      </x:c>
      <x:c r="J88" s="16" t="str">
        <x:v>sample_id</x:v>
      </x:c>
      <x:c r="K88" s="16" t="str">
        <x:v>按HW+打浆转数定位canonical_code并查找sample_id</x:v>
      </x:c>
      <x:c r="L88" s="16" t="str">
        <x:v>禁止为空</x:v>
      </x:c>
      <x:c r="M88" s="16" t="str">
        <x:v>必须唯一命中样本</x:v>
      </x:c>
      <x:c r="N88" s="16" t="str">
        <x:v>不得新建仅存在于测量文件的样本</x:v>
      </x:c>
      <x:c r="O88" s="16" t="str">
        <x:v>是</x:v>
      </x:c>
      <x:c r="P88" s="16" t="str"/>
    </x:row>
    <x:row r="89" ht="34" customHeight="1">
      <x:c r="A89" s="16" t="str">
        <x:v>M085</x:v>
      </x:c>
      <x:c r="B89" s="16" t="str">
        <x:v>data2-阔叶木-打浆转数-纤维特性(1).xlsx</x:v>
      </x:c>
      <x:c r="C89" s="16" t="str">
        <x:v>原始版</x:v>
      </x:c>
      <x:c r="D89" s="16" t="str">
        <x:v>Sheet1</x:v>
      </x:c>
      <x:c r="E89" s="22" t="n">
        <x:v>3</x:v>
      </x:c>
      <x:c r="F89" s="16" t="str">
        <x:v>纤维长度/mm（算数平均）</x:v>
      </x:c>
      <x:c r="G89" s="16" t="str">
        <x:v>mm</x:v>
      </x:c>
      <x:c r="H89" s="16" t="str">
        <x:v>直接</x:v>
      </x:c>
      <x:c r="I89" s="16" t="str">
        <x:v>fiber_measurement</x:v>
      </x:c>
      <x:c r="J89" s="16" t="str">
        <x:v>fiber_length_arithmetic_mm</x:v>
      </x:c>
      <x:c r="K89" s="16" t="str">
        <x:v>保留原始数值精度并转换为NUMERIC</x:v>
      </x:c>
      <x:c r="L89" s="16" t="str">
        <x:v>空白、—或/转为NULL并记录质量告警</x:v>
      </x:c>
      <x:c r="M89" s="16" t="str">
        <x:v>数值且非负</x:v>
      </x:c>
      <x:c r="N89" s="16" t="str">
        <x:v>同sample_id已有记录时不得覆盖</x:v>
      </x:c>
      <x:c r="O89" s="16" t="str">
        <x:v>是</x:v>
      </x:c>
      <x:c r="P89" s="16" t="str"/>
    </x:row>
    <x:row r="90" ht="34" customHeight="1">
      <x:c r="A90" s="16" t="str">
        <x:v>M086</x:v>
      </x:c>
      <x:c r="B90" s="16" t="str">
        <x:v>data2-阔叶木-打浆转数-纤维特性(1).xlsx</x:v>
      </x:c>
      <x:c r="C90" s="16" t="str">
        <x:v>原始版</x:v>
      </x:c>
      <x:c r="D90" s="16" t="str">
        <x:v>Sheet1</x:v>
      </x:c>
      <x:c r="E90" s="22" t="n">
        <x:v>4</x:v>
      </x:c>
      <x:c r="F90" s="16" t="str">
        <x:v>纤维长度/mm（长度加权长）</x:v>
      </x:c>
      <x:c r="G90" s="16" t="str">
        <x:v>mm</x:v>
      </x:c>
      <x:c r="H90" s="16" t="str">
        <x:v>直接</x:v>
      </x:c>
      <x:c r="I90" s="16" t="str">
        <x:v>fiber_measurement</x:v>
      </x:c>
      <x:c r="J90" s="16" t="str">
        <x:v>fiber_length_weighted_mm</x:v>
      </x:c>
      <x:c r="K90" s="16" t="str">
        <x:v>保留原始数值精度并转换为NUMERIC</x:v>
      </x:c>
      <x:c r="L90" s="16" t="str">
        <x:v>空白、—或/转为NULL并记录质量告警</x:v>
      </x:c>
      <x:c r="M90" s="16" t="str">
        <x:v>数值且非负</x:v>
      </x:c>
      <x:c r="N90" s="16" t="str">
        <x:v>同sample_id已有记录时不得覆盖</x:v>
      </x:c>
      <x:c r="O90" s="16" t="str">
        <x:v>是</x:v>
      </x:c>
      <x:c r="P90" s="16" t="str"/>
    </x:row>
    <x:row r="91" ht="34" customHeight="1">
      <x:c r="A91" s="16" t="str">
        <x:v>M087</x:v>
      </x:c>
      <x:c r="B91" s="16" t="str">
        <x:v>data2-阔叶木-打浆转数-纤维特性(1).xlsx</x:v>
      </x:c>
      <x:c r="C91" s="16" t="str">
        <x:v>原始版</x:v>
      </x:c>
      <x:c r="D91" s="16" t="str">
        <x:v>Sheet1</x:v>
      </x:c>
      <x:c r="E91" s="22" t="n">
        <x:v>5</x:v>
      </x:c>
      <x:c r="F91" s="16" t="str">
        <x:v>宽度/μm</x:v>
      </x:c>
      <x:c r="G91" s="16" t="str">
        <x:v>μm</x:v>
      </x:c>
      <x:c r="H91" s="16" t="str">
        <x:v>直接</x:v>
      </x:c>
      <x:c r="I91" s="16" t="str">
        <x:v>fiber_measurement</x:v>
      </x:c>
      <x:c r="J91" s="16" t="str">
        <x:v>fiber_width_um</x:v>
      </x:c>
      <x:c r="K91" s="16" t="str">
        <x:v>保留原始数值精度并转换为NUMERIC</x:v>
      </x:c>
      <x:c r="L91" s="16" t="str">
        <x:v>空白、—或/转为NULL并记录质量告警</x:v>
      </x:c>
      <x:c r="M91" s="16" t="str">
        <x:v>数值且非负</x:v>
      </x:c>
      <x:c r="N91" s="16" t="str">
        <x:v>同sample_id已有记录时不得覆盖</x:v>
      </x:c>
      <x:c r="O91" s="16" t="str">
        <x:v>是</x:v>
      </x:c>
      <x:c r="P91" s="16" t="str"/>
    </x:row>
    <x:row r="92" ht="34" customHeight="1">
      <x:c r="A92" s="16" t="str">
        <x:v>M088</x:v>
      </x:c>
      <x:c r="B92" s="16" t="str">
        <x:v>data2-阔叶木-打浆转数-纤维特性(1).xlsx</x:v>
      </x:c>
      <x:c r="C92" s="16" t="str">
        <x:v>原始版</x:v>
      </x:c>
      <x:c r="D92" s="16" t="str">
        <x:v>Sheet1</x:v>
      </x:c>
      <x:c r="E92" s="22" t="n">
        <x:v>6</x:v>
      </x:c>
      <x:c r="F92" s="16" t="str">
        <x:v>粗度（mg/m）</x:v>
      </x:c>
      <x:c r="G92" s="16" t="str">
        <x:v>mg/m</x:v>
      </x:c>
      <x:c r="H92" s="16" t="str">
        <x:v>直接</x:v>
      </x:c>
      <x:c r="I92" s="16" t="str">
        <x:v>fiber_measurement</x:v>
      </x:c>
      <x:c r="J92" s="16" t="str">
        <x:v>fiber_coarseness_mg_m</x:v>
      </x:c>
      <x:c r="K92" s="16" t="str">
        <x:v>保留原始数值精度并转换为NUMERIC</x:v>
      </x:c>
      <x:c r="L92" s="16" t="str">
        <x:v>空白、—或/转为NULL并记录质量告警</x:v>
      </x:c>
      <x:c r="M92" s="16" t="str">
        <x:v>数值且非负</x:v>
      </x:c>
      <x:c r="N92" s="16" t="str">
        <x:v>同sample_id已有记录时不得覆盖</x:v>
      </x:c>
      <x:c r="O92" s="16" t="str">
        <x:v>是</x:v>
      </x:c>
      <x:c r="P92" s="16" t="str"/>
    </x:row>
    <x:row r="93" ht="34" customHeight="1">
      <x:c r="A93" s="16" t="str">
        <x:v>M089</x:v>
      </x:c>
      <x:c r="B93" s="16" t="str">
        <x:v>data2-阔叶木-打浆转数-纤维特性(1).xlsx</x:v>
      </x:c>
      <x:c r="C93" s="16" t="str">
        <x:v>原始版</x:v>
      </x:c>
      <x:c r="D93" s="16" t="str">
        <x:v>Sheet1</x:v>
      </x:c>
      <x:c r="E93" s="22" t="n">
        <x:v>7</x:v>
      </x:c>
      <x:c r="F93" s="16" t="str">
        <x:v>扭结角（°）</x:v>
      </x:c>
      <x:c r="G93" s="16" t="str">
        <x:v>°</x:v>
      </x:c>
      <x:c r="H93" s="16" t="str">
        <x:v>直接</x:v>
      </x:c>
      <x:c r="I93" s="16" t="str">
        <x:v>fiber_measurement</x:v>
      </x:c>
      <x:c r="J93" s="16" t="str">
        <x:v>kink_angle_deg</x:v>
      </x:c>
      <x:c r="K93" s="16" t="str">
        <x:v>保留原始数值精度并转换为NUMERIC</x:v>
      </x:c>
      <x:c r="L93" s="16" t="str">
        <x:v>空白、—或/转为NULL并记录质量告警</x:v>
      </x:c>
      <x:c r="M93" s="16" t="str">
        <x:v>数值且非负</x:v>
      </x:c>
      <x:c r="N93" s="16" t="str">
        <x:v>同sample_id已有记录时不得覆盖</x:v>
      </x:c>
      <x:c r="O93" s="16" t="str">
        <x:v>是</x:v>
      </x:c>
      <x:c r="P93" s="16" t="str"/>
    </x:row>
    <x:row r="94" ht="34" customHeight="1">
      <x:c r="A94" s="16" t="str">
        <x:v>M090</x:v>
      </x:c>
      <x:c r="B94" s="16" t="str">
        <x:v>data2-阔叶木-打浆转数-纤维特性(1).xlsx</x:v>
      </x:c>
      <x:c r="C94" s="16" t="str">
        <x:v>原始版</x:v>
      </x:c>
      <x:c r="D94" s="16" t="str">
        <x:v>Sheet1</x:v>
      </x:c>
      <x:c r="E94" s="22" t="n">
        <x:v>8</x:v>
      </x:c>
      <x:c r="F94" s="16" t="str">
        <x:v>扭结纤维（%）</x:v>
      </x:c>
      <x:c r="G94" s="16" t="str">
        <x:v>%</x:v>
      </x:c>
      <x:c r="H94" s="16" t="str">
        <x:v>直接</x:v>
      </x:c>
      <x:c r="I94" s="16" t="str">
        <x:v>fiber_measurement</x:v>
      </x:c>
      <x:c r="J94" s="16" t="str">
        <x:v>kinked_fiber_pct</x:v>
      </x:c>
      <x:c r="K94" s="16" t="str">
        <x:v>保留原始数值精度并转换为NUMERIC</x:v>
      </x:c>
      <x:c r="L94" s="16" t="str">
        <x:v>空白、—或/转为NULL并记录质量告警</x:v>
      </x:c>
      <x:c r="M94" s="16" t="str">
        <x:v>数值且非负</x:v>
      </x:c>
      <x:c r="N94" s="16" t="str">
        <x:v>同sample_id已有记录时不得覆盖</x:v>
      </x:c>
      <x:c r="O94" s="16" t="str">
        <x:v>是</x:v>
      </x:c>
      <x:c r="P94" s="16" t="str"/>
    </x:row>
    <x:row r="95" ht="34" customHeight="1">
      <x:c r="A95" s="16" t="str">
        <x:v>M091</x:v>
      </x:c>
      <x:c r="B95" s="16" t="str">
        <x:v>data2-阔叶木-打浆转数-纤维特性(1).xlsx</x:v>
      </x:c>
      <x:c r="C95" s="16" t="str">
        <x:v>原始版</x:v>
      </x:c>
      <x:c r="D95" s="16" t="str">
        <x:v>Sheet1</x:v>
      </x:c>
      <x:c r="E95" s="22" t="n">
        <x:v>9</x:v>
      </x:c>
      <x:c r="F95" s="16" t="str">
        <x:v>弯曲（%）</x:v>
      </x:c>
      <x:c r="G95" s="16" t="str">
        <x:v>%</x:v>
      </x:c>
      <x:c r="H95" s="16" t="str">
        <x:v>直接</x:v>
      </x:c>
      <x:c r="I95" s="16" t="str">
        <x:v>fiber_measurement</x:v>
      </x:c>
      <x:c r="J95" s="16" t="str">
        <x:v>curved_fiber_pct</x:v>
      </x:c>
      <x:c r="K95" s="16" t="str">
        <x:v>保留原始数值精度并转换为NUMERIC</x:v>
      </x:c>
      <x:c r="L95" s="16" t="str">
        <x:v>空白、—或/转为NULL并记录质量告警</x:v>
      </x:c>
      <x:c r="M95" s="16" t="str">
        <x:v>数值且非负</x:v>
      </x:c>
      <x:c r="N95" s="16" t="str">
        <x:v>同sample_id已有记录时不得覆盖</x:v>
      </x:c>
      <x:c r="O95" s="16" t="str">
        <x:v>是</x:v>
      </x:c>
      <x:c r="P95" s="16" t="str"/>
    </x:row>
    <x:row r="96" ht="34" customHeight="1">
      <x:c r="A96" s="16" t="str">
        <x:v>M092</x:v>
      </x:c>
      <x:c r="B96" s="16" t="str">
        <x:v>data2-阔叶木-打浆转数-纤维特性(1).xlsx</x:v>
      </x:c>
      <x:c r="C96" s="16" t="str">
        <x:v>原始版</x:v>
      </x:c>
      <x:c r="D96" s="16" t="str">
        <x:v>Sheet1</x:v>
      </x:c>
      <x:c r="E96" s="22" t="n">
        <x:v>10</x:v>
      </x:c>
      <x:c r="F96" s="16" t="str">
        <x:v>分丝帚化长度比（%）</x:v>
      </x:c>
      <x:c r="G96" s="16" t="str">
        <x:v>%</x:v>
      </x:c>
      <x:c r="H96" s="16" t="str">
        <x:v>直接</x:v>
      </x:c>
      <x:c r="I96" s="16" t="str">
        <x:v>fiber_measurement</x:v>
      </x:c>
      <x:c r="J96" s="16" t="str">
        <x:v>fibrillation_length_pct</x:v>
      </x:c>
      <x:c r="K96" s="16" t="str">
        <x:v>保留原始数值精度并转换为NUMERIC</x:v>
      </x:c>
      <x:c r="L96" s="16" t="str">
        <x:v>空白、—或/转为NULL并记录质量告警</x:v>
      </x:c>
      <x:c r="M96" s="16" t="str">
        <x:v>数值且非负</x:v>
      </x:c>
      <x:c r="N96" s="16" t="str">
        <x:v>同sample_id已有记录时不得覆盖</x:v>
      </x:c>
      <x:c r="O96" s="16" t="str">
        <x:v>是</x:v>
      </x:c>
      <x:c r="P96" s="16" t="str"/>
    </x:row>
    <x:row r="97" ht="34" customHeight="1">
      <x:c r="A97" s="16" t="str">
        <x:v>M093</x:v>
      </x:c>
      <x:c r="B97" s="16" t="str">
        <x:v>data2-阔叶木-打浆转数-纤维特性(1).xlsx</x:v>
      </x:c>
      <x:c r="C97" s="16" t="str">
        <x:v>原始版</x:v>
      </x:c>
      <x:c r="D97" s="16" t="str">
        <x:v>Sheet1</x:v>
      </x:c>
      <x:c r="E97" s="22" t="n">
        <x:v>11</x:v>
      </x:c>
      <x:c r="F97" s="16" t="str">
        <x:v>折断纤维比（%）</x:v>
      </x:c>
      <x:c r="G97" s="16" t="str">
        <x:v>%</x:v>
      </x:c>
      <x:c r="H97" s="16" t="str">
        <x:v>直接</x:v>
      </x:c>
      <x:c r="I97" s="16" t="str">
        <x:v>fiber_measurement</x:v>
      </x:c>
      <x:c r="J97" s="16" t="str">
        <x:v>broken_fiber_pct</x:v>
      </x:c>
      <x:c r="K97" s="16" t="str">
        <x:v>保留原始数值精度并转换为NUMERIC</x:v>
      </x:c>
      <x:c r="L97" s="16" t="str">
        <x:v>空白、—或/转为NULL并记录质量告警</x:v>
      </x:c>
      <x:c r="M97" s="16" t="str">
        <x:v>数值且非负</x:v>
      </x:c>
      <x:c r="N97" s="16" t="str">
        <x:v>同sample_id已有记录时不得覆盖</x:v>
      </x:c>
      <x:c r="O97" s="16" t="str">
        <x:v>是</x:v>
      </x:c>
      <x:c r="P97" s="16" t="str"/>
    </x:row>
    <x:row r="98" ht="34" customHeight="1">
      <x:c r="A98" s="16" t="str">
        <x:v>M094</x:v>
      </x:c>
      <x:c r="B98" s="16" t="str">
        <x:v>data2-阔叶木-打浆转数-纤维特性(1).xlsx</x:v>
      </x:c>
      <x:c r="C98" s="16" t="str">
        <x:v>原始版</x:v>
      </x:c>
      <x:c r="D98" s="16" t="str">
        <x:v>Sheet1</x:v>
      </x:c>
      <x:c r="E98" s="22" t="n">
        <x:v>12</x:v>
      </x:c>
      <x:c r="F98" s="16" t="str">
        <x:v>细小纤维（长度比%）</x:v>
      </x:c>
      <x:c r="G98" s="16" t="str">
        <x:v>%</x:v>
      </x:c>
      <x:c r="H98" s="16" t="str">
        <x:v>直接</x:v>
      </x:c>
      <x:c r="I98" s="16" t="str">
        <x:v>fiber_measurement</x:v>
      </x:c>
      <x:c r="J98" s="16" t="str">
        <x:v>fines_length_pct</x:v>
      </x:c>
      <x:c r="K98" s="16" t="str">
        <x:v>保留原始数值精度并转换为NUMERIC</x:v>
      </x:c>
      <x:c r="L98" s="16" t="str">
        <x:v>空白、—或/转为NULL并记录质量告警</x:v>
      </x:c>
      <x:c r="M98" s="16" t="str">
        <x:v>数值且非负</x:v>
      </x:c>
      <x:c r="N98" s="16" t="str">
        <x:v>同sample_id已有记录时不得覆盖</x:v>
      </x:c>
      <x:c r="O98" s="16" t="str">
        <x:v>是</x:v>
      </x:c>
      <x:c r="P98" s="16" t="str"/>
    </x:row>
    <x:row r="99" ht="34" customHeight="1">
      <x:c r="A99" s="16" t="str">
        <x:v>M095</x:v>
      </x:c>
      <x:c r="B99" s="16" t="str">
        <x:v>data2-阔叶木-打浆转数-纤维特性(1).xlsx</x:v>
      </x:c>
      <x:c r="C99" s="16" t="str">
        <x:v>原始版</x:v>
      </x:c>
      <x:c r="D99" s="16" t="str">
        <x:v>Sheet1</x:v>
      </x:c>
      <x:c r="E99" s="22" t="n">
        <x:v>13</x:v>
      </x:c>
      <x:c r="F99" s="16" t="str">
        <x:v>细小纤维（长度加权比%）</x:v>
      </x:c>
      <x:c r="G99" s="16" t="str">
        <x:v>%</x:v>
      </x:c>
      <x:c r="H99" s="16" t="str">
        <x:v>直接</x:v>
      </x:c>
      <x:c r="I99" s="16" t="str">
        <x:v>fiber_measurement</x:v>
      </x:c>
      <x:c r="J99" s="16" t="str">
        <x:v>fines_weighted_length_pct</x:v>
      </x:c>
      <x:c r="K99" s="16" t="str">
        <x:v>保留原始数值精度并转换为NUMERIC</x:v>
      </x:c>
      <x:c r="L99" s="16" t="str">
        <x:v>空白、—或/转为NULL并记录质量告警</x:v>
      </x:c>
      <x:c r="M99" s="16" t="str">
        <x:v>数值且非负</x:v>
      </x:c>
      <x:c r="N99" s="16" t="str">
        <x:v>同sample_id已有记录时不得覆盖</x:v>
      </x:c>
      <x:c r="O99" s="16" t="str">
        <x:v>是</x:v>
      </x:c>
      <x:c r="P99" s="16" t="str"/>
    </x:row>
    <x:row r="100" ht="34" customHeight="1">
      <x:c r="A100" s="16" t="str">
        <x:v>M096</x:v>
      </x:c>
      <x:c r="B100" s="16" t="str">
        <x:v>data2-阔叶木-打浆转数-纤维特性(1).xlsx</x:v>
      </x:c>
      <x:c r="C100" s="16" t="str">
        <x:v>原始版</x:v>
      </x:c>
      <x:c r="D100" s="16" t="str">
        <x:v>Sheet1</x:v>
      </x:c>
      <x:c r="E100" s="22" t="n">
        <x:v>14</x:v>
      </x:c>
      <x:c r="F100" s="16" t="str">
        <x:v>细小纤维面积比（%）</x:v>
      </x:c>
      <x:c r="G100" s="16" t="str">
        <x:v>%</x:v>
      </x:c>
      <x:c r="H100" s="16" t="str">
        <x:v>直接</x:v>
      </x:c>
      <x:c r="I100" s="16" t="str">
        <x:v>fiber_measurement</x:v>
      </x:c>
      <x:c r="J100" s="16" t="str">
        <x:v>fines_area_pct</x:v>
      </x:c>
      <x:c r="K100" s="16" t="str">
        <x:v>保留原始数值精度并转换为NUMERIC</x:v>
      </x:c>
      <x:c r="L100" s="16" t="str">
        <x:v>空白、—或/转为NULL并记录质量告警</x:v>
      </x:c>
      <x:c r="M100" s="16" t="str">
        <x:v>数值且非负</x:v>
      </x:c>
      <x:c r="N100" s="16" t="str">
        <x:v>同sample_id已有记录时不得覆盖</x:v>
      </x:c>
      <x:c r="O100" s="16" t="str">
        <x:v>是</x:v>
      </x:c>
      <x:c r="P100" s="16" t="str"/>
    </x:row>
    <x:row r="101" ht="34" customHeight="1">
      <x:c r="A101" s="16" t="str">
        <x:v>M097</x:v>
      </x:c>
      <x:c r="B101" s="16" t="str">
        <x:v>data2-阔叶木-打浆转数-纤维特性(1).xlsx</x:v>
      </x:c>
      <x:c r="C101" s="16" t="str">
        <x:v>原始版</x:v>
      </x:c>
      <x:c r="D101" s="16" t="str">
        <x:v>Sheet1</x:v>
      </x:c>
      <x:c r="E101" s="22" t="n">
        <x:v>0</x:v>
      </x:c>
      <x:c r="F101" s="16" t="str">
        <x:v>〈当前来源行〉</x:v>
      </x:c>
      <x:c r="G101" s="16" t="str">
        <x:v>—</x:v>
      </x:c>
      <x:c r="H101" s="16" t="str">
        <x:v>关联</x:v>
      </x:c>
      <x:c r="I101" s="16" t="str">
        <x:v>fiber_measurement</x:v>
      </x:c>
      <x:c r="J101" s="16" t="str">
        <x:v>source_id</x:v>
      </x:c>
      <x:c r="K101" s="16" t="str">
        <x:v>引用本行data_source.source_id</x:v>
      </x:c>
      <x:c r="L101" s="16" t="str">
        <x:v>禁止为空</x:v>
      </x:c>
      <x:c r="M101" s="16" t="str">
        <x:v>外键有效</x:v>
      </x:c>
      <x:c r="N101" s="16" t="str">
        <x:v>缺失来源不得入库</x:v>
      </x:c>
      <x:c r="O101" s="16" t="str">
        <x:v>是</x:v>
      </x:c>
      <x:c r="P101" s="16" t="str"/>
    </x:row>
    <x:row r="102" ht="34" customHeight="1">
      <x:c r="A102" s="16" t="str">
        <x:v>M098</x:v>
      </x:c>
      <x:c r="B102" s="16" t="str">
        <x:v>data3-阔叶木-打浆转数-纸张性能(1).xlsx</x:v>
      </x:c>
      <x:c r="C102" s="16" t="str">
        <x:v>原始版</x:v>
      </x:c>
      <x:c r="D102" s="16" t="str">
        <x:v>Sheet1</x:v>
      </x:c>
      <x:c r="E102" s="22" t="n">
        <x:v>0</x:v>
      </x:c>
      <x:c r="F102" s="16" t="str">
        <x:v>〈文件名〉</x:v>
      </x:c>
      <x:c r="G102" s="16" t="str">
        <x:v>—</x:v>
      </x:c>
      <x:c r="H102" s="16" t="str">
        <x:v>来源元数据</x:v>
      </x:c>
      <x:c r="I102" s="16" t="str">
        <x:v>data_source</x:v>
      </x:c>
      <x:c r="J102" s="16" t="str">
        <x:v>file_name</x:v>
      </x:c>
      <x:c r="K102" s="16" t="str">
        <x:v>写入当前原始文件名</x:v>
      </x:c>
      <x:c r="L102" s="16" t="str">
        <x:v>禁止为空</x:v>
      </x:c>
      <x:c r="M102" s="16" t="str">
        <x:v>必须在正式来源白名单中</x:v>
      </x:c>
      <x:c r="N102" s="16" t="str">
        <x:v>旧复配版或汇总文件立即终止该批</x:v>
      </x:c>
      <x:c r="O102" s="16" t="str">
        <x:v>是</x:v>
      </x:c>
      <x:c r="P102" s="16" t="str"/>
    </x:row>
    <x:row r="103" ht="34" customHeight="1">
      <x:c r="A103" s="16" t="str">
        <x:v>M099</x:v>
      </x:c>
      <x:c r="B103" s="16" t="str">
        <x:v>data3-阔叶木-打浆转数-纸张性能(1).xlsx</x:v>
      </x:c>
      <x:c r="C103" s="16" t="str">
        <x:v>原始版</x:v>
      </x:c>
      <x:c r="D103" s="16" t="str">
        <x:v>Sheet1</x:v>
      </x:c>
      <x:c r="E103" s="22" t="n">
        <x:v>0</x:v>
      </x:c>
      <x:c r="F103" s="16" t="str">
        <x:v>〈工作表名〉</x:v>
      </x:c>
      <x:c r="G103" s="16" t="str">
        <x:v>—</x:v>
      </x:c>
      <x:c r="H103" s="16" t="str">
        <x:v>来源元数据</x:v>
      </x:c>
      <x:c r="I103" s="16" t="str">
        <x:v>data_source</x:v>
      </x:c>
      <x:c r="J103" s="16" t="str">
        <x:v>sheet_name</x:v>
      </x:c>
      <x:c r="K103" s="16" t="str">
        <x:v>固定写入Sheet1</x:v>
      </x:c>
      <x:c r="L103" s="16" t="str">
        <x:v>禁止为空</x:v>
      </x:c>
      <x:c r="M103" s="16" t="str">
        <x:v>仅允许有效工作表Sheet1</x:v>
      </x:c>
      <x:c r="N103" s="16" t="str">
        <x:v>空白Sheet2/Sheet3不处理</x:v>
      </x:c>
      <x:c r="O103" s="16" t="str">
        <x:v>是</x:v>
      </x:c>
      <x:c r="P103" s="16" t="str"/>
    </x:row>
    <x:row r="104" ht="34" customHeight="1">
      <x:c r="A104" s="16" t="str">
        <x:v>M100</x:v>
      </x:c>
      <x:c r="B104" s="16" t="str">
        <x:v>data3-阔叶木-打浆转数-纸张性能(1).xlsx</x:v>
      </x:c>
      <x:c r="C104" s="16" t="str">
        <x:v>原始版</x:v>
      </x:c>
      <x:c r="D104" s="16" t="str">
        <x:v>Sheet1</x:v>
      </x:c>
      <x:c r="E104" s="22" t="n">
        <x:v>0</x:v>
      </x:c>
      <x:c r="F104" s="16" t="str">
        <x:v>〈Excel行号〉</x:v>
      </x:c>
      <x:c r="G104" s="16" t="str">
        <x:v>行</x:v>
      </x:c>
      <x:c r="H104" s="16" t="str">
        <x:v>系统生成</x:v>
      </x:c>
      <x:c r="I104" s="16" t="str">
        <x:v>data_source</x:v>
      </x:c>
      <x:c r="J104" s="16" t="str">
        <x:v>source_row</x:v>
      </x:c>
      <x:c r="K104" s="16" t="str">
        <x:v>写入原始数据所在Excel实际行号</x:v>
      </x:c>
      <x:c r="L104" s="16" t="str">
        <x:v>禁止为空</x:v>
      </x:c>
      <x:c r="M104" s="16" t="str">
        <x:v>&gt;=2且为整数</x:v>
      </x:c>
      <x:c r="N104" s="16" t="str">
        <x:v>同文件、工作表、行号不得重复</x:v>
      </x:c>
      <x:c r="O104" s="16" t="str">
        <x:v>是</x:v>
      </x:c>
      <x:c r="P104" s="16" t="str"/>
    </x:row>
    <x:row r="105" ht="34" customHeight="1">
      <x:c r="A105" s="16" t="str">
        <x:v>M101</x:v>
      </x:c>
      <x:c r="B105" s="16" t="str">
        <x:v>data3-阔叶木-打浆转数-纸张性能(1).xlsx</x:v>
      </x:c>
      <x:c r="C105" s="16" t="str">
        <x:v>原始版</x:v>
      </x:c>
      <x:c r="D105" s="16" t="str">
        <x:v>Sheet1</x:v>
      </x:c>
      <x:c r="E105" s="22" t="n">
        <x:v>0</x:v>
      </x:c>
      <x:c r="F105" s="16" t="str">
        <x:v>〈来源版本〉</x:v>
      </x:c>
      <x:c r="G105" s="16" t="str">
        <x:v>—</x:v>
      </x:c>
      <x:c r="H105" s="16" t="str">
        <x:v>文件上下文</x:v>
      </x:c>
      <x:c r="I105" s="16" t="str">
        <x:v>data_source</x:v>
      </x:c>
      <x:c r="J105" s="16" t="str">
        <x:v>source_version</x:v>
      </x:c>
      <x:c r="K105" s="16" t="str">
        <x:v>固定写入原始版</x:v>
      </x:c>
      <x:c r="L105" s="16" t="str">
        <x:v>禁止为空</x:v>
      </x:c>
      <x:c r="M105" s="16" t="str">
        <x:v>复配文件必须为0110</x:v>
      </x:c>
      <x:c r="N105" s="16" t="str">
        <x:v>旧版不得覆盖0110</x:v>
      </x:c>
      <x:c r="O105" s="16" t="str">
        <x:v>是</x:v>
      </x:c>
      <x:c r="P105" s="16" t="str"/>
    </x:row>
    <x:row r="106" ht="34" customHeight="1">
      <x:c r="A106" s="16" t="str">
        <x:v>M102</x:v>
      </x:c>
      <x:c r="B106" s="16" t="str">
        <x:v>data3-阔叶木-打浆转数-纸张性能(1).xlsx</x:v>
      </x:c>
      <x:c r="C106" s="16" t="str">
        <x:v>原始版</x:v>
      </x:c>
      <x:c r="D106" s="16" t="str">
        <x:v>Sheet1</x:v>
      </x:c>
      <x:c r="E106" s="22" t="n">
        <x:v>0</x:v>
      </x:c>
      <x:c r="F106" s="16" t="str">
        <x:v>〈导入时间〉</x:v>
      </x:c>
      <x:c r="G106" s="16" t="str">
        <x:v>—</x:v>
      </x:c>
      <x:c r="H106" s="16" t="str">
        <x:v>系统生成</x:v>
      </x:c>
      <x:c r="I106" s="16" t="str">
        <x:v>data_source</x:v>
      </x:c>
      <x:c r="J106" s="16" t="str">
        <x:v>imported_at</x:v>
      </x:c>
      <x:c r="K106" s="16" t="str">
        <x:v>由PostgreSQL CURRENT_TIMESTAMP生成</x:v>
      </x:c>
      <x:c r="L106" s="16" t="str">
        <x:v>禁止为空</x:v>
      </x:c>
      <x:c r="M106" s="16" t="str">
        <x:v>TIMESTAMPTZ有效值</x:v>
      </x:c>
      <x:c r="N106" s="16" t="str">
        <x:v>不从Excel读取</x:v>
      </x:c>
      <x:c r="O106" s="16" t="str">
        <x:v>是</x:v>
      </x:c>
      <x:c r="P106" s="16" t="str"/>
    </x:row>
    <x:row r="107" ht="34" customHeight="1">
      <x:c r="A107" s="16" t="str">
        <x:v>M103</x:v>
      </x:c>
      <x:c r="B107" s="16" t="str">
        <x:v>data3-阔叶木-打浆转数-纸张性能(1).xlsx</x:v>
      </x:c>
      <x:c r="C107" s="16" t="str">
        <x:v>原始版</x:v>
      </x:c>
      <x:c r="D107" s="16" t="str">
        <x:v>Sheet1</x:v>
      </x:c>
      <x:c r="E107" s="22" t="n">
        <x:v>1</x:v>
      </x:c>
      <x:c r="F107" s="16" t="str">
        <x:v>序号</x:v>
      </x:c>
      <x:c r="G107" s="16" t="str">
        <x:v>—</x:v>
      </x:c>
      <x:c r="H107" s="16" t="str">
        <x:v>校验键</x:v>
      </x:c>
      <x:c r="I107" s="16" t="str">
        <x:v>experiment_sample</x:v>
      </x:c>
      <x:c r="J107" s="16" t="str">
        <x:v>display_order</x:v>
      </x:c>
      <x:c r="K107" s="16" t="str">
        <x:v>仅用于核对行顺序，不覆盖打浆度文件</x:v>
      </x:c>
      <x:c r="L107" s="16" t="str">
        <x:v>禁止为空</x:v>
      </x:c>
      <x:c r="M107" s="16" t="str">
        <x:v>正整数</x:v>
      </x:c>
      <x:c r="N107" s="16" t="str">
        <x:v>不一致时终止该批</x:v>
      </x:c>
      <x:c r="O107" s="16" t="str">
        <x:v>是</x:v>
      </x:c>
      <x:c r="P107" s="16" t="str"/>
    </x:row>
    <x:row r="108" ht="34" customHeight="1">
      <x:c r="A108" s="16" t="str">
        <x:v>M104</x:v>
      </x:c>
      <x:c r="B108" s="16" t="str">
        <x:v>data3-阔叶木-打浆转数-纸张性能(1).xlsx</x:v>
      </x:c>
      <x:c r="C108" s="16" t="str">
        <x:v>原始版</x:v>
      </x:c>
      <x:c r="D108" s="16" t="str">
        <x:v>Sheet1</x:v>
      </x:c>
      <x:c r="E108" s="22" t="n">
        <x:v>2</x:v>
      </x:c>
      <x:c r="F108" s="16" t="str">
        <x:v>打浆转数/r</x:v>
      </x:c>
      <x:c r="G108" s="16" t="str">
        <x:v>r</x:v>
      </x:c>
      <x:c r="H108" s="16" t="str">
        <x:v>关联键</x:v>
      </x:c>
      <x:c r="I108" s="16" t="str">
        <x:v>paper_measurement</x:v>
      </x:c>
      <x:c r="J108" s="16" t="str">
        <x:v>sample_id</x:v>
      </x:c>
      <x:c r="K108" s="16" t="str">
        <x:v>按HW+打浆转数定位canonical_code并查找sample_id</x:v>
      </x:c>
      <x:c r="L108" s="16" t="str">
        <x:v>禁止为空</x:v>
      </x:c>
      <x:c r="M108" s="16" t="str">
        <x:v>必须唯一命中样本</x:v>
      </x:c>
      <x:c r="N108" s="16" t="str">
        <x:v>不得新建仅存在于测量文件的样本</x:v>
      </x:c>
      <x:c r="O108" s="16" t="str">
        <x:v>是</x:v>
      </x:c>
      <x:c r="P108" s="16" t="str"/>
    </x:row>
    <x:row r="109" ht="34" customHeight="1">
      <x:c r="A109" s="16" t="str">
        <x:v>M105</x:v>
      </x:c>
      <x:c r="B109" s="16" t="str">
        <x:v>data3-阔叶木-打浆转数-纸张性能(1).xlsx</x:v>
      </x:c>
      <x:c r="C109" s="16" t="str">
        <x:v>原始版</x:v>
      </x:c>
      <x:c r="D109" s="16" t="str">
        <x:v>Sheet1</x:v>
      </x:c>
      <x:c r="E109" s="22" t="n">
        <x:v>3</x:v>
      </x:c>
      <x:c r="F109" s="16" t="str">
        <x:v>定量(g/m2)</x:v>
      </x:c>
      <x:c r="G109" s="16" t="str">
        <x:v>g/m²</x:v>
      </x:c>
      <x:c r="H109" s="16" t="str">
        <x:v>直接</x:v>
      </x:c>
      <x:c r="I109" s="16" t="str">
        <x:v>paper_measurement</x:v>
      </x:c>
      <x:c r="J109" s="16" t="str">
        <x:v>basis_weight_g_m2</x:v>
      </x:c>
      <x:c r="K109" s="16" t="str">
        <x:v>保留原始数值精度并转换为NUMERIC</x:v>
      </x:c>
      <x:c r="L109" s="16" t="str">
        <x:v>空白、—或/转为NULL并记录质量告警</x:v>
      </x:c>
      <x:c r="M109" s="16" t="str">
        <x:v>数值且非负</x:v>
      </x:c>
      <x:c r="N109" s="16" t="str">
        <x:v>同sample_id已有记录时不得覆盖</x:v>
      </x:c>
      <x:c r="O109" s="16" t="str">
        <x:v>是</x:v>
      </x:c>
      <x:c r="P109" s="16" t="str"/>
    </x:row>
    <x:row r="110" ht="34" customHeight="1">
      <x:c r="A110" s="16" t="str">
        <x:v>M106</x:v>
      </x:c>
      <x:c r="B110" s="16" t="str">
        <x:v>data3-阔叶木-打浆转数-纸张性能(1).xlsx</x:v>
      </x:c>
      <x:c r="C110" s="16" t="str">
        <x:v>原始版</x:v>
      </x:c>
      <x:c r="D110" s="16" t="str">
        <x:v>Sheet1</x:v>
      </x:c>
      <x:c r="E110" s="22" t="n">
        <x:v>4</x:v>
      </x:c>
      <x:c r="F110" s="16" t="str">
        <x:v>厚度(μm)</x:v>
      </x:c>
      <x:c r="G110" s="16" t="str">
        <x:v>μm</x:v>
      </x:c>
      <x:c r="H110" s="16" t="str">
        <x:v>直接</x:v>
      </x:c>
      <x:c r="I110" s="16" t="str">
        <x:v>paper_measurement</x:v>
      </x:c>
      <x:c r="J110" s="16" t="str">
        <x:v>thickness_um</x:v>
      </x:c>
      <x:c r="K110" s="16" t="str">
        <x:v>保留原始数值精度并转换为NUMERIC</x:v>
      </x:c>
      <x:c r="L110" s="16" t="str">
        <x:v>空白、—或/转为NULL并记录质量告警</x:v>
      </x:c>
      <x:c r="M110" s="16" t="str">
        <x:v>数值且非负</x:v>
      </x:c>
      <x:c r="N110" s="16" t="str">
        <x:v>同sample_id已有记录时不得覆盖</x:v>
      </x:c>
      <x:c r="O110" s="16" t="str">
        <x:v>是</x:v>
      </x:c>
      <x:c r="P110" s="16" t="str"/>
    </x:row>
    <x:row r="111" ht="34" customHeight="1">
      <x:c r="A111" s="16" t="str">
        <x:v>M107</x:v>
      </x:c>
      <x:c r="B111" s="16" t="str">
        <x:v>data3-阔叶木-打浆转数-纸张性能(1).xlsx</x:v>
      </x:c>
      <x:c r="C111" s="16" t="str">
        <x:v>原始版</x:v>
      </x:c>
      <x:c r="D111" s="16" t="str">
        <x:v>Sheet1</x:v>
      </x:c>
      <x:c r="E111" s="22" t="n">
        <x:v>5</x:v>
      </x:c>
      <x:c r="F111" s="16" t="str">
        <x:v>耐破指数(kPa·m2·g-1)</x:v>
      </x:c>
      <x:c r="G111" s="16" t="str">
        <x:v>kPa·m²/g</x:v>
      </x:c>
      <x:c r="H111" s="16" t="str">
        <x:v>直接</x:v>
      </x:c>
      <x:c r="I111" s="16" t="str">
        <x:v>paper_measurement</x:v>
      </x:c>
      <x:c r="J111" s="16" t="str">
        <x:v>burst_index</x:v>
      </x:c>
      <x:c r="K111" s="16" t="str">
        <x:v>保留原始数值精度并转换为NUMERIC</x:v>
      </x:c>
      <x:c r="L111" s="16" t="str">
        <x:v>空白、—或/转为NULL并记录质量告警</x:v>
      </x:c>
      <x:c r="M111" s="16" t="str">
        <x:v>数值且非负</x:v>
      </x:c>
      <x:c r="N111" s="16" t="str">
        <x:v>同sample_id已有记录时不得覆盖</x:v>
      </x:c>
      <x:c r="O111" s="16" t="str">
        <x:v>是</x:v>
      </x:c>
      <x:c r="P111" s="16" t="str"/>
    </x:row>
    <x:row r="112" ht="34" customHeight="1">
      <x:c r="A112" s="16" t="str">
        <x:v>M108</x:v>
      </x:c>
      <x:c r="B112" s="16" t="str">
        <x:v>data3-阔叶木-打浆转数-纸张性能(1).xlsx</x:v>
      </x:c>
      <x:c r="C112" s="16" t="str">
        <x:v>原始版</x:v>
      </x:c>
      <x:c r="D112" s="16" t="str">
        <x:v>Sheet1</x:v>
      </x:c>
      <x:c r="E112" s="22" t="n">
        <x:v>6</x:v>
      </x:c>
      <x:c r="F112" s="16" t="str">
        <x:v>撕裂指数(mN·m2·g-1)</x:v>
      </x:c>
      <x:c r="G112" s="16" t="str">
        <x:v>mN·m²/g</x:v>
      </x:c>
      <x:c r="H112" s="16" t="str">
        <x:v>直接</x:v>
      </x:c>
      <x:c r="I112" s="16" t="str">
        <x:v>paper_measurement</x:v>
      </x:c>
      <x:c r="J112" s="16" t="str">
        <x:v>tear_index</x:v>
      </x:c>
      <x:c r="K112" s="16" t="str">
        <x:v>保留原始数值精度并转换为NUMERIC</x:v>
      </x:c>
      <x:c r="L112" s="16" t="str">
        <x:v>空白、—或/转为NULL并记录质量告警</x:v>
      </x:c>
      <x:c r="M112" s="16" t="str">
        <x:v>数值且非负</x:v>
      </x:c>
      <x:c r="N112" s="16" t="str">
        <x:v>同sample_id已有记录时不得覆盖</x:v>
      </x:c>
      <x:c r="O112" s="16" t="str">
        <x:v>是</x:v>
      </x:c>
      <x:c r="P112" s="16" t="str"/>
    </x:row>
    <x:row r="113" ht="34" customHeight="1">
      <x:c r="A113" s="16" t="str">
        <x:v>M109</x:v>
      </x:c>
      <x:c r="B113" s="16" t="str">
        <x:v>data3-阔叶木-打浆转数-纸张性能(1).xlsx</x:v>
      </x:c>
      <x:c r="C113" s="16" t="str">
        <x:v>原始版</x:v>
      </x:c>
      <x:c r="D113" s="16" t="str">
        <x:v>Sheet1</x:v>
      </x:c>
      <x:c r="E113" s="22" t="n">
        <x:v>7</x:v>
      </x:c>
      <x:c r="F113" s="16" t="str">
        <x:v>抗张指数(N·m·g-1)</x:v>
      </x:c>
      <x:c r="G113" s="16" t="str">
        <x:v>N·m/g</x:v>
      </x:c>
      <x:c r="H113" s="16" t="str">
        <x:v>直接</x:v>
      </x:c>
      <x:c r="I113" s="16" t="str">
        <x:v>paper_measurement</x:v>
      </x:c>
      <x:c r="J113" s="16" t="str">
        <x:v>tensile_index</x:v>
      </x:c>
      <x:c r="K113" s="16" t="str">
        <x:v>保留原始数值精度并转换为NUMERIC</x:v>
      </x:c>
      <x:c r="L113" s="16" t="str">
        <x:v>空白、—或/转为NULL并记录质量告警</x:v>
      </x:c>
      <x:c r="M113" s="16" t="str">
        <x:v>数值且非负</x:v>
      </x:c>
      <x:c r="N113" s="16" t="str">
        <x:v>同sample_id已有记录时不得覆盖</x:v>
      </x:c>
      <x:c r="O113" s="16" t="str">
        <x:v>是</x:v>
      </x:c>
      <x:c r="P113" s="16" t="str"/>
    </x:row>
    <x:row r="114" ht="34" customHeight="1">
      <x:c r="A114" s="16" t="str">
        <x:v>M110</x:v>
      </x:c>
      <x:c r="B114" s="16" t="str">
        <x:v>data3-阔叶木-打浆转数-纸张性能(1).xlsx</x:v>
      </x:c>
      <x:c r="C114" s="16" t="str">
        <x:v>原始版</x:v>
      </x:c>
      <x:c r="D114" s="16" t="str">
        <x:v>Sheet1</x:v>
      </x:c>
      <x:c r="E114" s="22" t="n">
        <x:v>8</x:v>
      </x:c>
      <x:c r="F114" s="16" t="str">
        <x:v>零距抗张强度(N/cm)</x:v>
      </x:c>
      <x:c r="G114" s="16" t="str">
        <x:v>N/cm</x:v>
      </x:c>
      <x:c r="H114" s="16" t="str">
        <x:v>直接</x:v>
      </x:c>
      <x:c r="I114" s="16" t="str">
        <x:v>paper_measurement</x:v>
      </x:c>
      <x:c r="J114" s="16" t="str">
        <x:v>zero_span_tensile</x:v>
      </x:c>
      <x:c r="K114" s="16" t="str">
        <x:v>保留原始数值精度并转换为NUMERIC</x:v>
      </x:c>
      <x:c r="L114" s="16" t="str">
        <x:v>空白、—或/转为NULL并记录质量告警</x:v>
      </x:c>
      <x:c r="M114" s="16" t="str">
        <x:v>数值且非负</x:v>
      </x:c>
      <x:c r="N114" s="16" t="str">
        <x:v>同sample_id已有记录时不得覆盖</x:v>
      </x:c>
      <x:c r="O114" s="16" t="str">
        <x:v>是</x:v>
      </x:c>
      <x:c r="P114" s="16" t="str"/>
    </x:row>
    <x:row r="115" ht="34" customHeight="1">
      <x:c r="A115" s="16" t="str">
        <x:v>M111</x:v>
      </x:c>
      <x:c r="B115" s="16" t="str">
        <x:v>data3-阔叶木-打浆转数-纸张性能(1).xlsx</x:v>
      </x:c>
      <x:c r="C115" s="16" t="str">
        <x:v>原始版</x:v>
      </x:c>
      <x:c r="D115" s="16" t="str">
        <x:v>Sheet1</x:v>
      </x:c>
      <x:c r="E115" s="22" t="n">
        <x:v>9</x:v>
      </x:c>
      <x:c r="F115" s="16" t="str">
        <x:v>表面粗糙度(ml/min)</x:v>
      </x:c>
      <x:c r="G115" s="16" t="str">
        <x:v>ml/min</x:v>
      </x:c>
      <x:c r="H115" s="16" t="str">
        <x:v>直接</x:v>
      </x:c>
      <x:c r="I115" s="16" t="str">
        <x:v>paper_measurement</x:v>
      </x:c>
      <x:c r="J115" s="16" t="str">
        <x:v>surface_roughness</x:v>
      </x:c>
      <x:c r="K115" s="16" t="str">
        <x:v>保留原始数值精度并转换为NUMERIC</x:v>
      </x:c>
      <x:c r="L115" s="16" t="str">
        <x:v>空白、—或/转为NULL并记录质量告警</x:v>
      </x:c>
      <x:c r="M115" s="16" t="str">
        <x:v>数值且非负</x:v>
      </x:c>
      <x:c r="N115" s="16" t="str">
        <x:v>同sample_id已有记录时不得覆盖</x:v>
      </x:c>
      <x:c r="O115" s="16" t="str">
        <x:v>是</x:v>
      </x:c>
      <x:c r="P115" s="16" t="str"/>
    </x:row>
    <x:row r="116" ht="34" customHeight="1">
      <x:c r="A116" s="16" t="str">
        <x:v>M112</x:v>
      </x:c>
      <x:c r="B116" s="16" t="str">
        <x:v>data3-阔叶木-打浆转数-纸张性能(1).xlsx</x:v>
      </x:c>
      <x:c r="C116" s="16" t="str">
        <x:v>原始版</x:v>
      </x:c>
      <x:c r="D116" s="16" t="str">
        <x:v>Sheet1</x:v>
      </x:c>
      <x:c r="E116" s="22" t="n">
        <x:v>10</x:v>
      </x:c>
      <x:c r="F116" s="16" t="str">
        <x:v>透气度</x:v>
      </x:c>
      <x:c r="G116" s="16" t="str">
        <x:v>源表未标注；设计暂定μm/(Pa·s)</x:v>
      </x:c>
      <x:c r="H116" s="16" t="str">
        <x:v>直接</x:v>
      </x:c>
      <x:c r="I116" s="16" t="str">
        <x:v>paper_measurement</x:v>
      </x:c>
      <x:c r="J116" s="16" t="str">
        <x:v>air_permeability</x:v>
      </x:c>
      <x:c r="K116" s="16" t="str">
        <x:v>保留原始数值精度并转换为NUMERIC</x:v>
      </x:c>
      <x:c r="L116" s="16" t="str">
        <x:v>空白、—或/转为NULL并记录质量告警</x:v>
      </x:c>
      <x:c r="M116" s="16" t="str">
        <x:v>数值且非负</x:v>
      </x:c>
      <x:c r="N116" s="16" t="str">
        <x:v>同sample_id已有记录时不得覆盖</x:v>
      </x:c>
      <x:c r="O116" s="16" t="str">
        <x:v>是</x:v>
      </x:c>
      <x:c r="P116" s="16" t="str">
        <x:v>单位状态见字段数据字典</x:v>
      </x:c>
    </x:row>
    <x:row r="117" ht="34" customHeight="1">
      <x:c r="A117" s="16" t="str">
        <x:v>M113</x:v>
      </x:c>
      <x:c r="B117" s="16" t="str">
        <x:v>data3-阔叶木-打浆转数-纸张性能(1).xlsx</x:v>
      </x:c>
      <x:c r="C117" s="16" t="str">
        <x:v>原始版</x:v>
      </x:c>
      <x:c r="D117" s="16" t="str">
        <x:v>Sheet1</x:v>
      </x:c>
      <x:c r="E117" s="22" t="n">
        <x:v>11</x:v>
      </x:c>
      <x:c r="F117" s="16" t="str">
        <x:v>耐折度</x:v>
      </x:c>
      <x:c r="G117" s="16" t="str">
        <x:v>待确认</x:v>
      </x:c>
      <x:c r="H117" s="16" t="str">
        <x:v>直接</x:v>
      </x:c>
      <x:c r="I117" s="16" t="str">
        <x:v>paper_measurement</x:v>
      </x:c>
      <x:c r="J117" s="16" t="str">
        <x:v>folding_endurance_raw</x:v>
      </x:c>
      <x:c r="K117" s="16" t="str">
        <x:v>保留原始数值精度并转换为NUMERIC</x:v>
      </x:c>
      <x:c r="L117" s="16" t="str">
        <x:v>空白、—或/转为NULL并记录质量告警</x:v>
      </x:c>
      <x:c r="M117" s="16" t="str">
        <x:v>数值且非负</x:v>
      </x:c>
      <x:c r="N117" s="16" t="str">
        <x:v>同sample_id已有记录时不得覆盖</x:v>
      </x:c>
      <x:c r="O117" s="16" t="str">
        <x:v>是</x:v>
      </x:c>
      <x:c r="P117" s="16" t="str">
        <x:v>单位状态见字段数据字典</x:v>
      </x:c>
    </x:row>
    <x:row r="118" ht="34" customHeight="1">
      <x:c r="A118" s="16" t="str">
        <x:v>M114</x:v>
      </x:c>
      <x:c r="B118" s="16" t="str">
        <x:v>data3-阔叶木-打浆转数-纸张性能(1).xlsx</x:v>
      </x:c>
      <x:c r="C118" s="16" t="str">
        <x:v>原始版</x:v>
      </x:c>
      <x:c r="D118" s="16" t="str">
        <x:v>Sheet1</x:v>
      </x:c>
      <x:c r="E118" s="22" t="n">
        <x:v>0</x:v>
      </x:c>
      <x:c r="F118" s="16" t="str">
        <x:v>〈实验规则〉</x:v>
      </x:c>
      <x:c r="G118" s="16" t="str">
        <x:v>次</x:v>
      </x:c>
      <x:c r="H118" s="16" t="str">
        <x:v>常量</x:v>
      </x:c>
      <x:c r="I118" s="16" t="str">
        <x:v>paper_measurement</x:v>
      </x:c>
      <x:c r="J118" s="16" t="str">
        <x:v>replicate_count</x:v>
      </x:c>
      <x:c r="K118" s="16" t="str">
        <x:v>固定写入3</x:v>
      </x:c>
      <x:c r="L118" s="16" t="str">
        <x:v>禁止为空</x:v>
      </x:c>
      <x:c r="M118" s="16" t="str">
        <x:v>等于3</x:v>
      </x:c>
      <x:c r="N118" s="16" t="str">
        <x:v>不从Excel重复计算</x:v>
      </x:c>
      <x:c r="O118" s="16" t="str">
        <x:v>是</x:v>
      </x:c>
      <x:c r="P118" s="16" t="str"/>
    </x:row>
    <x:row r="119" ht="34" customHeight="1">
      <x:c r="A119" s="16" t="str">
        <x:v>M115</x:v>
      </x:c>
      <x:c r="B119" s="16" t="str">
        <x:v>data3-阔叶木-打浆转数-纸张性能(1).xlsx</x:v>
      </x:c>
      <x:c r="C119" s="16" t="str">
        <x:v>原始版</x:v>
      </x:c>
      <x:c r="D119" s="16" t="str">
        <x:v>Sheet1</x:v>
      </x:c>
      <x:c r="E119" s="22" t="n">
        <x:v>0</x:v>
      </x:c>
      <x:c r="F119" s="16" t="str">
        <x:v>〈实验规则〉</x:v>
      </x:c>
      <x:c r="G119" s="16" t="str">
        <x:v>—</x:v>
      </x:c>
      <x:c r="H119" s="16" t="str">
        <x:v>常量</x:v>
      </x:c>
      <x:c r="I119" s="16" t="str">
        <x:v>paper_measurement</x:v>
      </x:c>
      <x:c r="J119" s="16" t="str">
        <x:v>aggregation_method</x:v>
      </x:c>
      <x:c r="K119" s="16" t="str">
        <x:v>固定写入“剔除偏差值后取最终均值”</x:v>
      </x:c>
      <x:c r="L119" s="16" t="str">
        <x:v>禁止为空</x:v>
      </x:c>
      <x:c r="M119" s="16" t="str">
        <x:v>非空</x:v>
      </x:c>
      <x:c r="N119" s="16" t="str">
        <x:v>源表数值按最终均值接收</x:v>
      </x:c>
      <x:c r="O119" s="16" t="str">
        <x:v>是</x:v>
      </x:c>
      <x:c r="P119" s="16" t="str"/>
    </x:row>
    <x:row r="120" ht="34" customHeight="1">
      <x:c r="A120" s="16" t="str">
        <x:v>M116</x:v>
      </x:c>
      <x:c r="B120" s="16" t="str">
        <x:v>data3-阔叶木-打浆转数-纸张性能(1).xlsx</x:v>
      </x:c>
      <x:c r="C120" s="16" t="str">
        <x:v>原始版</x:v>
      </x:c>
      <x:c r="D120" s="16" t="str">
        <x:v>Sheet1</x:v>
      </x:c>
      <x:c r="E120" s="22" t="n">
        <x:v>0</x:v>
      </x:c>
      <x:c r="F120" s="16" t="str">
        <x:v>〈当前来源行〉</x:v>
      </x:c>
      <x:c r="G120" s="16" t="str">
        <x:v>—</x:v>
      </x:c>
      <x:c r="H120" s="16" t="str">
        <x:v>关联</x:v>
      </x:c>
      <x:c r="I120" s="16" t="str">
        <x:v>paper_measurement</x:v>
      </x:c>
      <x:c r="J120" s="16" t="str">
        <x:v>source_id</x:v>
      </x:c>
      <x:c r="K120" s="16" t="str">
        <x:v>引用本行data_source.source_id</x:v>
      </x:c>
      <x:c r="L120" s="16" t="str">
        <x:v>禁止为空</x:v>
      </x:c>
      <x:c r="M120" s="16" t="str">
        <x:v>外键有效</x:v>
      </x:c>
      <x:c r="N120" s="16" t="str">
        <x:v>缺失来源不得入库</x:v>
      </x:c>
      <x:c r="O120" s="16" t="str">
        <x:v>是</x:v>
      </x:c>
      <x:c r="P120" s="16" t="str"/>
    </x:row>
    <x:row r="121" ht="34" customHeight="1">
      <x:c r="A121" s="16" t="str">
        <x:v>M117</x:v>
      </x:c>
      <x:c r="B121" s="16" t="str">
        <x:v>data4-针阔-复配-纤维特性0110(1).xlsx</x:v>
      </x:c>
      <x:c r="C121" s="16" t="str">
        <x:v>0110</x:v>
      </x:c>
      <x:c r="D121" s="16" t="str">
        <x:v>Sheet1</x:v>
      </x:c>
      <x:c r="E121" s="22" t="n">
        <x:v>0</x:v>
      </x:c>
      <x:c r="F121" s="16" t="str">
        <x:v>〈文件名〉</x:v>
      </x:c>
      <x:c r="G121" s="16" t="str">
        <x:v>—</x:v>
      </x:c>
      <x:c r="H121" s="16" t="str">
        <x:v>来源元数据</x:v>
      </x:c>
      <x:c r="I121" s="16" t="str">
        <x:v>data_source</x:v>
      </x:c>
      <x:c r="J121" s="16" t="str">
        <x:v>file_name</x:v>
      </x:c>
      <x:c r="K121" s="16" t="str">
        <x:v>写入当前原始文件名</x:v>
      </x:c>
      <x:c r="L121" s="16" t="str">
        <x:v>禁止为空</x:v>
      </x:c>
      <x:c r="M121" s="16" t="str">
        <x:v>必须在正式来源白名单中</x:v>
      </x:c>
      <x:c r="N121" s="16" t="str">
        <x:v>旧复配版或汇总文件立即终止该批</x:v>
      </x:c>
      <x:c r="O121" s="16" t="str">
        <x:v>是</x:v>
      </x:c>
      <x:c r="P121" s="16" t="str"/>
    </x:row>
    <x:row r="122" ht="34" customHeight="1">
      <x:c r="A122" s="16" t="str">
        <x:v>M118</x:v>
      </x:c>
      <x:c r="B122" s="16" t="str">
        <x:v>data4-针阔-复配-纤维特性0110(1).xlsx</x:v>
      </x:c>
      <x:c r="C122" s="16" t="str">
        <x:v>0110</x:v>
      </x:c>
      <x:c r="D122" s="16" t="str">
        <x:v>Sheet1</x:v>
      </x:c>
      <x:c r="E122" s="22" t="n">
        <x:v>0</x:v>
      </x:c>
      <x:c r="F122" s="16" t="str">
        <x:v>〈工作表名〉</x:v>
      </x:c>
      <x:c r="G122" s="16" t="str">
        <x:v>—</x:v>
      </x:c>
      <x:c r="H122" s="16" t="str">
        <x:v>来源元数据</x:v>
      </x:c>
      <x:c r="I122" s="16" t="str">
        <x:v>data_source</x:v>
      </x:c>
      <x:c r="J122" s="16" t="str">
        <x:v>sheet_name</x:v>
      </x:c>
      <x:c r="K122" s="16" t="str">
        <x:v>固定写入Sheet1</x:v>
      </x:c>
      <x:c r="L122" s="16" t="str">
        <x:v>禁止为空</x:v>
      </x:c>
      <x:c r="M122" s="16" t="str">
        <x:v>仅允许有效工作表Sheet1</x:v>
      </x:c>
      <x:c r="N122" s="16" t="str">
        <x:v>空白Sheet2/Sheet3不处理</x:v>
      </x:c>
      <x:c r="O122" s="16" t="str">
        <x:v>是</x:v>
      </x:c>
      <x:c r="P122" s="16" t="str"/>
    </x:row>
    <x:row r="123" ht="34" customHeight="1">
      <x:c r="A123" s="16" t="str">
        <x:v>M119</x:v>
      </x:c>
      <x:c r="B123" s="16" t="str">
        <x:v>data4-针阔-复配-纤维特性0110(1).xlsx</x:v>
      </x:c>
      <x:c r="C123" s="16" t="str">
        <x:v>0110</x:v>
      </x:c>
      <x:c r="D123" s="16" t="str">
        <x:v>Sheet1</x:v>
      </x:c>
      <x:c r="E123" s="22" t="n">
        <x:v>0</x:v>
      </x:c>
      <x:c r="F123" s="16" t="str">
        <x:v>〈Excel行号〉</x:v>
      </x:c>
      <x:c r="G123" s="16" t="str">
        <x:v>行</x:v>
      </x:c>
      <x:c r="H123" s="16" t="str">
        <x:v>系统生成</x:v>
      </x:c>
      <x:c r="I123" s="16" t="str">
        <x:v>data_source</x:v>
      </x:c>
      <x:c r="J123" s="16" t="str">
        <x:v>source_row</x:v>
      </x:c>
      <x:c r="K123" s="16" t="str">
        <x:v>写入原始数据所在Excel实际行号</x:v>
      </x:c>
      <x:c r="L123" s="16" t="str">
        <x:v>禁止为空</x:v>
      </x:c>
      <x:c r="M123" s="16" t="str">
        <x:v>&gt;=2且为整数</x:v>
      </x:c>
      <x:c r="N123" s="16" t="str">
        <x:v>同文件、工作表、行号不得重复</x:v>
      </x:c>
      <x:c r="O123" s="16" t="str">
        <x:v>是</x:v>
      </x:c>
      <x:c r="P123" s="16" t="str"/>
    </x:row>
    <x:row r="124" ht="34" customHeight="1">
      <x:c r="A124" s="16" t="str">
        <x:v>M120</x:v>
      </x:c>
      <x:c r="B124" s="16" t="str">
        <x:v>data4-针阔-复配-纤维特性0110(1).xlsx</x:v>
      </x:c>
      <x:c r="C124" s="16" t="str">
        <x:v>0110</x:v>
      </x:c>
      <x:c r="D124" s="16" t="str">
        <x:v>Sheet1</x:v>
      </x:c>
      <x:c r="E124" s="22" t="n">
        <x:v>0</x:v>
      </x:c>
      <x:c r="F124" s="16" t="str">
        <x:v>〈来源版本〉</x:v>
      </x:c>
      <x:c r="G124" s="16" t="str">
        <x:v>—</x:v>
      </x:c>
      <x:c r="H124" s="16" t="str">
        <x:v>文件上下文</x:v>
      </x:c>
      <x:c r="I124" s="16" t="str">
        <x:v>data_source</x:v>
      </x:c>
      <x:c r="J124" s="16" t="str">
        <x:v>source_version</x:v>
      </x:c>
      <x:c r="K124" s="16" t="str">
        <x:v>固定写入0110</x:v>
      </x:c>
      <x:c r="L124" s="16" t="str">
        <x:v>禁止为空</x:v>
      </x:c>
      <x:c r="M124" s="16" t="str">
        <x:v>复配文件必须为0110</x:v>
      </x:c>
      <x:c r="N124" s="16" t="str">
        <x:v>旧版不得覆盖0110</x:v>
      </x:c>
      <x:c r="O124" s="16" t="str">
        <x:v>是</x:v>
      </x:c>
      <x:c r="P124" s="16" t="str"/>
    </x:row>
    <x:row r="125" ht="34" customHeight="1">
      <x:c r="A125" s="16" t="str">
        <x:v>M121</x:v>
      </x:c>
      <x:c r="B125" s="16" t="str">
        <x:v>data4-针阔-复配-纤维特性0110(1).xlsx</x:v>
      </x:c>
      <x:c r="C125" s="16" t="str">
        <x:v>0110</x:v>
      </x:c>
      <x:c r="D125" s="16" t="str">
        <x:v>Sheet1</x:v>
      </x:c>
      <x:c r="E125" s="22" t="n">
        <x:v>0</x:v>
      </x:c>
      <x:c r="F125" s="16" t="str">
        <x:v>〈导入时间〉</x:v>
      </x:c>
      <x:c r="G125" s="16" t="str">
        <x:v>—</x:v>
      </x:c>
      <x:c r="H125" s="16" t="str">
        <x:v>系统生成</x:v>
      </x:c>
      <x:c r="I125" s="16" t="str">
        <x:v>data_source</x:v>
      </x:c>
      <x:c r="J125" s="16" t="str">
        <x:v>imported_at</x:v>
      </x:c>
      <x:c r="K125" s="16" t="str">
        <x:v>由PostgreSQL CURRENT_TIMESTAMP生成</x:v>
      </x:c>
      <x:c r="L125" s="16" t="str">
        <x:v>禁止为空</x:v>
      </x:c>
      <x:c r="M125" s="16" t="str">
        <x:v>TIMESTAMPTZ有效值</x:v>
      </x:c>
      <x:c r="N125" s="16" t="str">
        <x:v>不从Excel读取</x:v>
      </x:c>
      <x:c r="O125" s="16" t="str">
        <x:v>是</x:v>
      </x:c>
      <x:c r="P125" s="16" t="str"/>
    </x:row>
    <x:row r="126" ht="34" customHeight="1">
      <x:c r="A126" s="16" t="str">
        <x:v>M122</x:v>
      </x:c>
      <x:c r="B126" s="16" t="str">
        <x:v>data4-针阔-复配-纤维特性0110(1).xlsx</x:v>
      </x:c>
      <x:c r="C126" s="16" t="str">
        <x:v>0110</x:v>
      </x:c>
      <x:c r="D126" s="16" t="str">
        <x:v>Sheet1</x:v>
      </x:c>
      <x:c r="E126" s="22" t="n">
        <x:v>1</x:v>
      </x:c>
      <x:c r="F126" s="16" t="str">
        <x:v>复配编号（源表A列无表头）</x:v>
      </x:c>
      <x:c r="G126" s="16" t="str">
        <x:v>—</x:v>
      </x:c>
      <x:c r="H126" s="16" t="str">
        <x:v>直接</x:v>
      </x:c>
      <x:c r="I126" s="16" t="str">
        <x:v>experiment_sample</x:v>
      </x:c>
      <x:c r="J126" s="16" t="str">
        <x:v>display_code</x:v>
      </x:c>
      <x:c r="K126" s="16" t="str">
        <x:v>保留zk010、zk19…zk100原始代码</x:v>
      </x:c>
      <x:c r="L126" s="16" t="str">
        <x:v>禁止为空</x:v>
      </x:c>
      <x:c r="M126" s="16" t="str">
        <x:v>必须匹配^zk(010|[1-9][1-9]|100)$且在本批唯一</x:v>
      </x:c>
      <x:c r="N126" s="16" t="str">
        <x:v>0110纤维文件为复配展示点权威来源</x:v>
      </x:c>
      <x:c r="O126" s="16" t="str">
        <x:v>是</x:v>
      </x:c>
      <x:c r="P126" s="16" t="str"/>
    </x:row>
    <x:row r="127" ht="34" customHeight="1">
      <x:c r="A127" s="16" t="str">
        <x:v>M123</x:v>
      </x:c>
      <x:c r="B127" s="16" t="str">
        <x:v>data4-针阔-复配-纤维特性0110(1).xlsx</x:v>
      </x:c>
      <x:c r="C127" s="16" t="str">
        <x:v>0110</x:v>
      </x:c>
      <x:c r="D127" s="16" t="str">
        <x:v>Sheet1</x:v>
      </x:c>
      <x:c r="E127" s="22" t="n">
        <x:v>1</x:v>
      </x:c>
      <x:c r="F127" s="16" t="str">
        <x:v>复配编号（源表A列无表头）</x:v>
      </x:c>
      <x:c r="G127" s="16" t="str">
        <x:v>—</x:v>
      </x:c>
      <x:c r="H127" s="16" t="str">
        <x:v>派生</x:v>
      </x:c>
      <x:c r="I127" s="16" t="str">
        <x:v>experiment_sample</x:v>
      </x:c>
      <x:c r="J127" s="16" t="str">
        <x:v>display_order</x:v>
      </x:c>
      <x:c r="K127" s="16" t="str">
        <x:v>按针叶木比例0%、10%…100%生成1至11</x:v>
      </x:c>
      <x:c r="L127" s="16" t="str">
        <x:v>禁止为空</x:v>
      </x:c>
      <x:c r="M127" s="16" t="str">
        <x:v>1至11且连续</x:v>
      </x:c>
      <x:c r="N127" s="16" t="str">
        <x:v>不得按文本字典序排序</x:v>
      </x:c>
      <x:c r="O127" s="16" t="str">
        <x:v>是</x:v>
      </x:c>
      <x:c r="P127" s="16" t="str"/>
    </x:row>
    <x:row r="128" ht="34" customHeight="1">
      <x:c r="A128" s="16" t="str">
        <x:v>M124</x:v>
      </x:c>
      <x:c r="B128" s="16" t="str">
        <x:v>data4-针阔-复配-纤维特性0110(1).xlsx</x:v>
      </x:c>
      <x:c r="C128" s="16" t="str">
        <x:v>0110</x:v>
      </x:c>
      <x:c r="D128" s="16" t="str">
        <x:v>Sheet1</x:v>
      </x:c>
      <x:c r="E128" s="22" t="n">
        <x:v>1</x:v>
      </x:c>
      <x:c r="F128" s="16" t="str">
        <x:v>复配编号（源表A列无表头）</x:v>
      </x:c>
      <x:c r="G128" s="16" t="str">
        <x:v>—</x:v>
      </x:c>
      <x:c r="H128" s="16" t="str">
        <x:v>派生/查找</x:v>
      </x:c>
      <x:c r="I128" s="16" t="str">
        <x:v>sample</x:v>
      </x:c>
      <x:c r="J128" s="16" t="str">
        <x:v>canonical_code</x:v>
      </x:c>
      <x:c r="K128" s="16" t="str">
        <x:v>zk010引用HW_R08000；zk100引用SW_R14000；中间点生成BLEND_SW{比例3位}_HW{比例3位}</x:v>
      </x:c>
      <x:c r="L128" s="16" t="str">
        <x:v>禁止为空</x:v>
      </x:c>
      <x:c r="M128" s="16" t="str">
        <x:v>全库唯一</x:v>
      </x:c>
      <x:c r="N128" s="16" t="str">
        <x:v>两个端点必须复用纯浆样本，不新建</x:v>
      </x:c>
      <x:c r="O128" s="16" t="str">
        <x:v>是</x:v>
      </x:c>
      <x:c r="P128" s="16" t="str"/>
    </x:row>
    <x:row r="129" ht="34" customHeight="1">
      <x:c r="A129" s="16" t="str">
        <x:v>M125</x:v>
      </x:c>
      <x:c r="B129" s="16" t="str">
        <x:v>data4-针阔-复配-纤维特性0110(1).xlsx</x:v>
      </x:c>
      <x:c r="C129" s="16" t="str">
        <x:v>0110</x:v>
      </x:c>
      <x:c r="D129" s="16" t="str">
        <x:v>Sheet1</x:v>
      </x:c>
      <x:c r="E129" s="22" t="n">
        <x:v>1</x:v>
      </x:c>
      <x:c r="F129" s="16" t="str">
        <x:v>复配编号（源表A列无表头）</x:v>
      </x:c>
      <x:c r="G129" s="16" t="str">
        <x:v>—</x:v>
      </x:c>
      <x:c r="H129" s="16" t="str">
        <x:v>条件常量</x:v>
      </x:c>
      <x:c r="I129" s="16" t="str">
        <x:v>sample</x:v>
      </x:c>
      <x:c r="J129" s="16" t="str">
        <x:v>sample_type</x:v>
      </x:c>
      <x:c r="K129" s="16" t="str">
        <x:v>中间9点写入blend；端点沿用原有类型</x:v>
      </x:c>
      <x:c r="L129" s="16" t="str">
        <x:v>禁止为空</x:v>
      </x:c>
      <x:c r="M129" s="16" t="str">
        <x:v>枚举值合法</x:v>
      </x:c>
      <x:c r="N129" s="16" t="str">
        <x:v>端点不得改为blend</x:v>
      </x:c>
      <x:c r="O129" s="16" t="str">
        <x:v>是</x:v>
      </x:c>
      <x:c r="P129" s="16" t="str"/>
    </x:row>
    <x:row r="130" ht="34" customHeight="1">
      <x:c r="A130" s="16" t="str">
        <x:v>M126</x:v>
      </x:c>
      <x:c r="B130" s="16" t="str">
        <x:v>data4-针阔-复配-纤维特性0110(1).xlsx</x:v>
      </x:c>
      <x:c r="C130" s="16" t="str">
        <x:v>0110</x:v>
      </x:c>
      <x:c r="D130" s="16" t="str">
        <x:v>Sheet1</x:v>
      </x:c>
      <x:c r="E130" s="22" t="n">
        <x:v>1</x:v>
      </x:c>
      <x:c r="F130" s="16" t="str">
        <x:v>复配编号（源表A列无表头）</x:v>
      </x:c>
      <x:c r="G130" s="16" t="str">
        <x:v>—</x:v>
      </x:c>
      <x:c r="H130" s="16" t="str">
        <x:v>派生</x:v>
      </x:c>
      <x:c r="I130" s="16" t="str">
        <x:v>sample</x:v>
      </x:c>
      <x:c r="J130" s="16" t="str">
        <x:v>display_name</x:v>
      </x:c>
      <x:c r="K130" s="16" t="str">
        <x:v>中间点生成针叶木浆{比例}%+阔叶木浆{比例}%</x:v>
      </x:c>
      <x:c r="L130" s="16" t="str">
        <x:v>禁止为空</x:v>
      </x:c>
      <x:c r="M130" s="16" t="str">
        <x:v>比例合计100%</x:v>
      </x:c>
      <x:c r="N130" s="16" t="str">
        <x:v>端点沿用纯浆显示名</x:v>
      </x:c>
      <x:c r="O130" s="16" t="str">
        <x:v>是</x:v>
      </x:c>
      <x:c r="P130" s="16" t="str"/>
    </x:row>
    <x:row r="131" ht="34" customHeight="1">
      <x:c r="A131" s="16" t="str">
        <x:v>M127</x:v>
      </x:c>
      <x:c r="B131" s="16" t="str">
        <x:v>data4-针阔-复配-纤维特性0110(1).xlsx</x:v>
      </x:c>
      <x:c r="C131" s="16" t="str">
        <x:v>0110</x:v>
      </x:c>
      <x:c r="D131" s="16" t="str">
        <x:v>Sheet1</x:v>
      </x:c>
      <x:c r="E131" s="22" t="n">
        <x:v>0</x:v>
      </x:c>
      <x:c r="F131" s="16" t="str">
        <x:v>〈复配实验上下文〉</x:v>
      </x:c>
      <x:c r="G131" s="16" t="str">
        <x:v>—</x:v>
      </x:c>
      <x:c r="H131" s="16" t="str">
        <x:v>常量/查找</x:v>
      </x:c>
      <x:c r="I131" s="16" t="str">
        <x:v>experiment_sample</x:v>
      </x:c>
      <x:c r="J131" s="16" t="str">
        <x:v>experiment_id</x:v>
      </x:c>
      <x:c r="K131" s="16" t="str">
        <x:v>按experiment_code=BLEND查找</x:v>
      </x:c>
      <x:c r="L131" s="16" t="str">
        <x:v>禁止为空</x:v>
      </x:c>
      <x:c r="M131" s="16" t="str">
        <x:v>必须命中一个实验</x:v>
      </x:c>
      <x:c r="N131" s="16" t="str">
        <x:v>禁止自动创建未知实验</x:v>
      </x:c>
      <x:c r="O131" s="16" t="str">
        <x:v>是</x:v>
      </x:c>
      <x:c r="P131" s="16" t="str"/>
    </x:row>
    <x:row r="132" ht="34" customHeight="1">
      <x:c r="A132" s="16" t="str">
        <x:v>M128</x:v>
      </x:c>
      <x:c r="B132" s="16" t="str">
        <x:v>data4-针阔-复配-纤维特性0110(1).xlsx</x:v>
      </x:c>
      <x:c r="C132" s="16" t="str">
        <x:v>0110</x:v>
      </x:c>
      <x:c r="D132" s="16" t="str">
        <x:v>Sheet1</x:v>
      </x:c>
      <x:c r="E132" s="22" t="n">
        <x:v>1</x:v>
      </x:c>
      <x:c r="F132" s="16" t="str">
        <x:v>复配编号（源表A列无表头）</x:v>
      </x:c>
      <x:c r="G132" s="16" t="str">
        <x:v>—</x:v>
      </x:c>
      <x:c r="H132" s="16" t="str">
        <x:v>查找/创建</x:v>
      </x:c>
      <x:c r="I132" s="16" t="str">
        <x:v>experiment_sample</x:v>
      </x:c>
      <x:c r="J132" s="16" t="str">
        <x:v>sample_id</x:v>
      </x:c>
      <x:c r="K132" s="16" t="str">
        <x:v>按派生canonical_code查找；仅中间9点创建新样本</x:v>
      </x:c>
      <x:c r="L132" s="16" t="str">
        <x:v>禁止为空</x:v>
      </x:c>
      <x:c r="M132" s="16" t="str">
        <x:v>必须唯一命中</x:v>
      </x:c>
      <x:c r="N132" s="16" t="str">
        <x:v>端点引用已有纯浆sample_id</x:v>
      </x:c>
      <x:c r="O132" s="16" t="str">
        <x:v>是</x:v>
      </x:c>
      <x:c r="P132" s="16" t="str"/>
    </x:row>
    <x:row r="133" ht="34" customHeight="1">
      <x:c r="A133" s="16" t="str">
        <x:v>M129</x:v>
      </x:c>
      <x:c r="B133" s="16" t="str">
        <x:v>data4-针阔-复配-纤维特性0110(1).xlsx</x:v>
      </x:c>
      <x:c r="C133" s="16" t="str">
        <x:v>0110</x:v>
      </x:c>
      <x:c r="D133" s="16" t="str">
        <x:v>Sheet1</x:v>
      </x:c>
      <x:c r="E133" s="22" t="n">
        <x:v>0</x:v>
      </x:c>
      <x:c r="F133" s="16" t="str">
        <x:v>〈当前来源行〉</x:v>
      </x:c>
      <x:c r="G133" s="16" t="str">
        <x:v>—</x:v>
      </x:c>
      <x:c r="H133" s="16" t="str">
        <x:v>关联</x:v>
      </x:c>
      <x:c r="I133" s="16" t="str">
        <x:v>experiment_sample</x:v>
      </x:c>
      <x:c r="J133" s="16" t="str">
        <x:v>source_id</x:v>
      </x:c>
      <x:c r="K133" s="16" t="str">
        <x:v>引用本行data_source.source_id</x:v>
      </x:c>
      <x:c r="L133" s="16" t="str">
        <x:v>禁止为空</x:v>
      </x:c>
      <x:c r="M133" s="16" t="str">
        <x:v>外键有效</x:v>
      </x:c>
      <x:c r="N133" s="16" t="str">
        <x:v>缺失来源不得入库</x:v>
      </x:c>
      <x:c r="O133" s="16" t="str">
        <x:v>是</x:v>
      </x:c>
      <x:c r="P133" s="16" t="str"/>
    </x:row>
    <x:row r="134" ht="34" customHeight="1">
      <x:c r="A134" s="16" t="str">
        <x:v>M130</x:v>
      </x:c>
      <x:c r="B134" s="16" t="str">
        <x:v>data4-针阔-复配-纤维特性0110(1).xlsx</x:v>
      </x:c>
      <x:c r="C134" s="16" t="str">
        <x:v>0110</x:v>
      </x:c>
      <x:c r="D134" s="16" t="str">
        <x:v>Sheet1</x:v>
      </x:c>
      <x:c r="E134" s="22" t="n">
        <x:v>1</x:v>
      </x:c>
      <x:c r="F134" s="16" t="str">
        <x:v>复配编号（源表A列无表头）</x:v>
      </x:c>
      <x:c r="G134" s="16" t="str">
        <x:v>—</x:v>
      </x:c>
      <x:c r="H134" s="16" t="str">
        <x:v>条件生成</x:v>
      </x:c>
      <x:c r="I134" s="16" t="str">
        <x:v>sample_component</x:v>
      </x:c>
      <x:c r="J134" s="16" t="str">
        <x:v>sample_id</x:v>
      </x:c>
      <x:c r="K134" s="16" t="str">
        <x:v>仅中间9点引用新建blend sample_id（SW组分）</x:v>
      </x:c>
      <x:c r="L134" s="16" t="str">
        <x:v>禁止为空</x:v>
      </x:c>
      <x:c r="M134" s="16" t="str">
        <x:v>外键有效</x:v>
      </x:c>
      <x:c r="N134" s="16" t="str">
        <x:v>端点不新增sample_component</x:v>
      </x:c>
      <x:c r="O134" s="16" t="str">
        <x:v>是</x:v>
      </x:c>
      <x:c r="P134" s="16" t="str"/>
    </x:row>
    <x:row r="135" ht="34" customHeight="1">
      <x:c r="A135" s="16" t="str">
        <x:v>M131</x:v>
      </x:c>
      <x:c r="B135" s="16" t="str">
        <x:v>data4-针阔-复配-纤维特性0110(1).xlsx</x:v>
      </x:c>
      <x:c r="C135" s="16" t="str">
        <x:v>0110</x:v>
      </x:c>
      <x:c r="D135" s="16" t="str">
        <x:v>Sheet1</x:v>
      </x:c>
      <x:c r="E135" s="22" t="n">
        <x:v>0</x:v>
      </x:c>
      <x:c r="F135" s="16" t="str">
        <x:v>〈SW组分〉</x:v>
      </x:c>
      <x:c r="G135" s="16" t="str">
        <x:v>—</x:v>
      </x:c>
      <x:c r="H135" s="16" t="str">
        <x:v>常量/查找</x:v>
      </x:c>
      <x:c r="I135" s="16" t="str">
        <x:v>sample_component</x:v>
      </x:c>
      <x:c r="J135" s="16" t="str">
        <x:v>material_id</x:v>
      </x:c>
      <x:c r="K135" s="16" t="str">
        <x:v>按material_code=SW查找</x:v>
      </x:c>
      <x:c r="L135" s="16" t="str">
        <x:v>禁止为空</x:v>
      </x:c>
      <x:c r="M135" s="16" t="str">
        <x:v>必须命中一个原料</x:v>
      </x:c>
      <x:c r="N135" s="16" t="str">
        <x:v>仅中间9点写入</x:v>
      </x:c>
      <x:c r="O135" s="16" t="str">
        <x:v>是</x:v>
      </x:c>
      <x:c r="P135" s="16" t="str"/>
    </x:row>
    <x:row r="136" ht="34" customHeight="1">
      <x:c r="A136" s="16" t="str">
        <x:v>M132</x:v>
      </x:c>
      <x:c r="B136" s="16" t="str">
        <x:v>data4-针阔-复配-纤维特性0110(1).xlsx</x:v>
      </x:c>
      <x:c r="C136" s="16" t="str">
        <x:v>0110</x:v>
      </x:c>
      <x:c r="D136" s="16" t="str">
        <x:v>Sheet1</x:v>
      </x:c>
      <x:c r="E136" s="22" t="n">
        <x:v>1</x:v>
      </x:c>
      <x:c r="F136" s="16" t="str">
        <x:v>复配编号（源表A列无表头）</x:v>
      </x:c>
      <x:c r="G136" s="16" t="str">
        <x:v>%</x:v>
      </x:c>
      <x:c r="H136" s="16" t="str">
        <x:v>派生</x:v>
      </x:c>
      <x:c r="I136" s="16" t="str">
        <x:v>sample_component</x:v>
      </x:c>
      <x:c r="J136" s="16" t="str">
        <x:v>proportion_pct</x:v>
      </x:c>
      <x:c r="K136" s="16" t="str">
        <x:v>从复配编号解析针叶木浆比例</x:v>
      </x:c>
      <x:c r="L136" s="16" t="str">
        <x:v>禁止为空</x:v>
      </x:c>
      <x:c r="M136" s="16" t="str">
        <x:v>0至100且同一样本合计100</x:v>
      </x:c>
      <x:c r="N136" s="16" t="str">
        <x:v>比例非法则整批回滚</x:v>
      </x:c>
      <x:c r="O136" s="16" t="str">
        <x:v>是</x:v>
      </x:c>
      <x:c r="P136" s="16" t="str">
        <x:v>SW组分</x:v>
      </x:c>
    </x:row>
    <x:row r="137" ht="34" customHeight="1">
      <x:c r="A137" s="16" t="str">
        <x:v>M133</x:v>
      </x:c>
      <x:c r="B137" s="16" t="str">
        <x:v>data4-针阔-复配-纤维特性0110(1).xlsx</x:v>
      </x:c>
      <x:c r="C137" s="16" t="str">
        <x:v>0110</x:v>
      </x:c>
      <x:c r="D137" s="16" t="str">
        <x:v>Sheet1</x:v>
      </x:c>
      <x:c r="E137" s="22" t="n">
        <x:v>0</x:v>
      </x:c>
      <x:c r="F137" s="16" t="str">
        <x:v>〈SW固定打浆条件〉</x:v>
      </x:c>
      <x:c r="G137" s="16" t="str">
        <x:v>r</x:v>
      </x:c>
      <x:c r="H137" s="16" t="str">
        <x:v>常量</x:v>
      </x:c>
      <x:c r="I137" s="16" t="str">
        <x:v>sample_component</x:v>
      </x:c>
      <x:c r="J137" s="16" t="str">
        <x:v>beating_revolutions</x:v>
      </x:c>
      <x:c r="K137" s="16" t="str">
        <x:v>固定写入14000</x:v>
      </x:c>
      <x:c r="L137" s="16" t="str">
        <x:v>禁止为空</x:v>
      </x:c>
      <x:c r="M137" s="16" t="str">
        <x:v>等于14000</x:v>
      </x:c>
      <x:c r="N137" s="16" t="str">
        <x:v>仅中间9点写入</x:v>
      </x:c>
      <x:c r="O137" s="16" t="str">
        <x:v>是</x:v>
      </x:c>
      <x:c r="P137" s="16" t="str"/>
    </x:row>
    <x:row r="138" ht="34" customHeight="1">
      <x:c r="A138" s="16" t="str">
        <x:v>M134</x:v>
      </x:c>
      <x:c r="B138" s="16" t="str">
        <x:v>data4-针阔-复配-纤维特性0110(1).xlsx</x:v>
      </x:c>
      <x:c r="C138" s="16" t="str">
        <x:v>0110</x:v>
      </x:c>
      <x:c r="D138" s="16" t="str">
        <x:v>Sheet1</x:v>
      </x:c>
      <x:c r="E138" s="22" t="n">
        <x:v>0</x:v>
      </x:c>
      <x:c r="F138" s="16" t="str">
        <x:v>〈SW固定打浆条件〉</x:v>
      </x:c>
      <x:c r="G138" s="16" t="str">
        <x:v>°SR</x:v>
      </x:c>
      <x:c r="H138" s="16" t="str">
        <x:v>常量</x:v>
      </x:c>
      <x:c r="I138" s="16" t="str">
        <x:v>sample_component</x:v>
      </x:c>
      <x:c r="J138" s="16" t="str">
        <x:v>beating_degree_sr</x:v>
      </x:c>
      <x:c r="K138" s="16" t="str">
        <x:v>固定写入41</x:v>
      </x:c>
      <x:c r="L138" s="16" t="str">
        <x:v>禁止为空</x:v>
      </x:c>
      <x:c r="M138" s="16" t="str">
        <x:v>等于41</x:v>
      </x:c>
      <x:c r="N138" s="16" t="str">
        <x:v>仅中间9点写入</x:v>
      </x:c>
      <x:c r="O138" s="16" t="str">
        <x:v>是</x:v>
      </x:c>
      <x:c r="P138" s="16" t="str"/>
    </x:row>
    <x:row r="139" ht="34" customHeight="1">
      <x:c r="A139" s="16" t="str">
        <x:v>M135</x:v>
      </x:c>
      <x:c r="B139" s="16" t="str">
        <x:v>data4-针阔-复配-纤维特性0110(1).xlsx</x:v>
      </x:c>
      <x:c r="C139" s="16" t="str">
        <x:v>0110</x:v>
      </x:c>
      <x:c r="D139" s="16" t="str">
        <x:v>Sheet1</x:v>
      </x:c>
      <x:c r="E139" s="22" t="n">
        <x:v>0</x:v>
      </x:c>
      <x:c r="F139" s="16" t="str">
        <x:v>〈当前来源行〉</x:v>
      </x:c>
      <x:c r="G139" s="16" t="str">
        <x:v>—</x:v>
      </x:c>
      <x:c r="H139" s="16" t="str">
        <x:v>关联</x:v>
      </x:c>
      <x:c r="I139" s="16" t="str">
        <x:v>sample_component</x:v>
      </x:c>
      <x:c r="J139" s="16" t="str">
        <x:v>source_id</x:v>
      </x:c>
      <x:c r="K139" s="16" t="str">
        <x:v>引用本行data_source.source_id</x:v>
      </x:c>
      <x:c r="L139" s="16" t="str">
        <x:v>禁止为空</x:v>
      </x:c>
      <x:c r="M139" s="16" t="str">
        <x:v>外键有效</x:v>
      </x:c>
      <x:c r="N139" s="16" t="str">
        <x:v>仅中间9点写入</x:v>
      </x:c>
      <x:c r="O139" s="16" t="str">
        <x:v>是</x:v>
      </x:c>
      <x:c r="P139" s="16" t="str">
        <x:v>SW组分</x:v>
      </x:c>
    </x:row>
    <x:row r="140" ht="34" customHeight="1">
      <x:c r="A140" s="16" t="str">
        <x:v>M136</x:v>
      </x:c>
      <x:c r="B140" s="16" t="str">
        <x:v>data4-针阔-复配-纤维特性0110(1).xlsx</x:v>
      </x:c>
      <x:c r="C140" s="16" t="str">
        <x:v>0110</x:v>
      </x:c>
      <x:c r="D140" s="16" t="str">
        <x:v>Sheet1</x:v>
      </x:c>
      <x:c r="E140" s="22" t="n">
        <x:v>1</x:v>
      </x:c>
      <x:c r="F140" s="16" t="str">
        <x:v>复配编号（源表A列无表头）</x:v>
      </x:c>
      <x:c r="G140" s="16" t="str">
        <x:v>—</x:v>
      </x:c>
      <x:c r="H140" s="16" t="str">
        <x:v>条件生成</x:v>
      </x:c>
      <x:c r="I140" s="16" t="str">
        <x:v>sample_component</x:v>
      </x:c>
      <x:c r="J140" s="16" t="str">
        <x:v>sample_id</x:v>
      </x:c>
      <x:c r="K140" s="16" t="str">
        <x:v>仅中间9点引用新建blend sample_id（HW组分）</x:v>
      </x:c>
      <x:c r="L140" s="16" t="str">
        <x:v>禁止为空</x:v>
      </x:c>
      <x:c r="M140" s="16" t="str">
        <x:v>外键有效</x:v>
      </x:c>
      <x:c r="N140" s="16" t="str">
        <x:v>端点不新增sample_component</x:v>
      </x:c>
      <x:c r="O140" s="16" t="str">
        <x:v>是</x:v>
      </x:c>
      <x:c r="P140" s="16" t="str"/>
    </x:row>
    <x:row r="141" ht="34" customHeight="1">
      <x:c r="A141" s="16" t="str">
        <x:v>M137</x:v>
      </x:c>
      <x:c r="B141" s="16" t="str">
        <x:v>data4-针阔-复配-纤维特性0110(1).xlsx</x:v>
      </x:c>
      <x:c r="C141" s="16" t="str">
        <x:v>0110</x:v>
      </x:c>
      <x:c r="D141" s="16" t="str">
        <x:v>Sheet1</x:v>
      </x:c>
      <x:c r="E141" s="22" t="n">
        <x:v>0</x:v>
      </x:c>
      <x:c r="F141" s="16" t="str">
        <x:v>〈HW组分〉</x:v>
      </x:c>
      <x:c r="G141" s="16" t="str">
        <x:v>—</x:v>
      </x:c>
      <x:c r="H141" s="16" t="str">
        <x:v>常量/查找</x:v>
      </x:c>
      <x:c r="I141" s="16" t="str">
        <x:v>sample_component</x:v>
      </x:c>
      <x:c r="J141" s="16" t="str">
        <x:v>material_id</x:v>
      </x:c>
      <x:c r="K141" s="16" t="str">
        <x:v>按material_code=HW查找</x:v>
      </x:c>
      <x:c r="L141" s="16" t="str">
        <x:v>禁止为空</x:v>
      </x:c>
      <x:c r="M141" s="16" t="str">
        <x:v>必须命中一个原料</x:v>
      </x:c>
      <x:c r="N141" s="16" t="str">
        <x:v>仅中间9点写入</x:v>
      </x:c>
      <x:c r="O141" s="16" t="str">
        <x:v>是</x:v>
      </x:c>
      <x:c r="P141" s="16" t="str"/>
    </x:row>
    <x:row r="142" ht="34" customHeight="1">
      <x:c r="A142" s="16" t="str">
        <x:v>M138</x:v>
      </x:c>
      <x:c r="B142" s="16" t="str">
        <x:v>data4-针阔-复配-纤维特性0110(1).xlsx</x:v>
      </x:c>
      <x:c r="C142" s="16" t="str">
        <x:v>0110</x:v>
      </x:c>
      <x:c r="D142" s="16" t="str">
        <x:v>Sheet1</x:v>
      </x:c>
      <x:c r="E142" s="22" t="n">
        <x:v>1</x:v>
      </x:c>
      <x:c r="F142" s="16" t="str">
        <x:v>复配编号（源表A列无表头）</x:v>
      </x:c>
      <x:c r="G142" s="16" t="str">
        <x:v>%</x:v>
      </x:c>
      <x:c r="H142" s="16" t="str">
        <x:v>派生</x:v>
      </x:c>
      <x:c r="I142" s="16" t="str">
        <x:v>sample_component</x:v>
      </x:c>
      <x:c r="J142" s="16" t="str">
        <x:v>proportion_pct</x:v>
      </x:c>
      <x:c r="K142" s="16" t="str">
        <x:v>100减去针叶木浆比例</x:v>
      </x:c>
      <x:c r="L142" s="16" t="str">
        <x:v>禁止为空</x:v>
      </x:c>
      <x:c r="M142" s="16" t="str">
        <x:v>0至100且同一样本合计100</x:v>
      </x:c>
      <x:c r="N142" s="16" t="str">
        <x:v>比例非法则整批回滚</x:v>
      </x:c>
      <x:c r="O142" s="16" t="str">
        <x:v>是</x:v>
      </x:c>
      <x:c r="P142" s="16" t="str">
        <x:v>HW组分</x:v>
      </x:c>
    </x:row>
    <x:row r="143" ht="34" customHeight="1">
      <x:c r="A143" s="16" t="str">
        <x:v>M139</x:v>
      </x:c>
      <x:c r="B143" s="16" t="str">
        <x:v>data4-针阔-复配-纤维特性0110(1).xlsx</x:v>
      </x:c>
      <x:c r="C143" s="16" t="str">
        <x:v>0110</x:v>
      </x:c>
      <x:c r="D143" s="16" t="str">
        <x:v>Sheet1</x:v>
      </x:c>
      <x:c r="E143" s="22" t="n">
        <x:v>0</x:v>
      </x:c>
      <x:c r="F143" s="16" t="str">
        <x:v>〈HW固定打浆条件〉</x:v>
      </x:c>
      <x:c r="G143" s="16" t="str">
        <x:v>r</x:v>
      </x:c>
      <x:c r="H143" s="16" t="str">
        <x:v>常量</x:v>
      </x:c>
      <x:c r="I143" s="16" t="str">
        <x:v>sample_component</x:v>
      </x:c>
      <x:c r="J143" s="16" t="str">
        <x:v>beating_revolutions</x:v>
      </x:c>
      <x:c r="K143" s="16" t="str">
        <x:v>固定写入8000</x:v>
      </x:c>
      <x:c r="L143" s="16" t="str">
        <x:v>禁止为空</x:v>
      </x:c>
      <x:c r="M143" s="16" t="str">
        <x:v>等于8000</x:v>
      </x:c>
      <x:c r="N143" s="16" t="str">
        <x:v>仅中间9点写入</x:v>
      </x:c>
      <x:c r="O143" s="16" t="str">
        <x:v>是</x:v>
      </x:c>
      <x:c r="P143" s="16" t="str"/>
    </x:row>
    <x:row r="144" ht="34" customHeight="1">
      <x:c r="A144" s="16" t="str">
        <x:v>M140</x:v>
      </x:c>
      <x:c r="B144" s="16" t="str">
        <x:v>data4-针阔-复配-纤维特性0110(1).xlsx</x:v>
      </x:c>
      <x:c r="C144" s="16" t="str">
        <x:v>0110</x:v>
      </x:c>
      <x:c r="D144" s="16" t="str">
        <x:v>Sheet1</x:v>
      </x:c>
      <x:c r="E144" s="22" t="n">
        <x:v>0</x:v>
      </x:c>
      <x:c r="F144" s="16" t="str">
        <x:v>〈HW固定打浆条件〉</x:v>
      </x:c>
      <x:c r="G144" s="16" t="str">
        <x:v>°SR</x:v>
      </x:c>
      <x:c r="H144" s="16" t="str">
        <x:v>常量</x:v>
      </x:c>
      <x:c r="I144" s="16" t="str">
        <x:v>sample_component</x:v>
      </x:c>
      <x:c r="J144" s="16" t="str">
        <x:v>beating_degree_sr</x:v>
      </x:c>
      <x:c r="K144" s="16" t="str">
        <x:v>固定写入40.6</x:v>
      </x:c>
      <x:c r="L144" s="16" t="str">
        <x:v>禁止为空</x:v>
      </x:c>
      <x:c r="M144" s="16" t="str">
        <x:v>等于40.6</x:v>
      </x:c>
      <x:c r="N144" s="16" t="str">
        <x:v>仅中间9点写入</x:v>
      </x:c>
      <x:c r="O144" s="16" t="str">
        <x:v>是</x:v>
      </x:c>
      <x:c r="P144" s="16" t="str"/>
    </x:row>
    <x:row r="145" ht="34" customHeight="1">
      <x:c r="A145" s="16" t="str">
        <x:v>M141</x:v>
      </x:c>
      <x:c r="B145" s="16" t="str">
        <x:v>data4-针阔-复配-纤维特性0110(1).xlsx</x:v>
      </x:c>
      <x:c r="C145" s="16" t="str">
        <x:v>0110</x:v>
      </x:c>
      <x:c r="D145" s="16" t="str">
        <x:v>Sheet1</x:v>
      </x:c>
      <x:c r="E145" s="22" t="n">
        <x:v>0</x:v>
      </x:c>
      <x:c r="F145" s="16" t="str">
        <x:v>〈当前来源行〉</x:v>
      </x:c>
      <x:c r="G145" s="16" t="str">
        <x:v>—</x:v>
      </x:c>
      <x:c r="H145" s="16" t="str">
        <x:v>关联</x:v>
      </x:c>
      <x:c r="I145" s="16" t="str">
        <x:v>sample_component</x:v>
      </x:c>
      <x:c r="J145" s="16" t="str">
        <x:v>source_id</x:v>
      </x:c>
      <x:c r="K145" s="16" t="str">
        <x:v>引用本行data_source.source_id</x:v>
      </x:c>
      <x:c r="L145" s="16" t="str">
        <x:v>禁止为空</x:v>
      </x:c>
      <x:c r="M145" s="16" t="str">
        <x:v>外键有效</x:v>
      </x:c>
      <x:c r="N145" s="16" t="str">
        <x:v>仅中间9点写入</x:v>
      </x:c>
      <x:c r="O145" s="16" t="str">
        <x:v>是</x:v>
      </x:c>
      <x:c r="P145" s="16" t="str">
        <x:v>HW组分</x:v>
      </x:c>
    </x:row>
    <x:row r="146" ht="34" customHeight="1">
      <x:c r="A146" s="16" t="str">
        <x:v>M142</x:v>
      </x:c>
      <x:c r="B146" s="16" t="str">
        <x:v>data4-针阔-复配-纤维特性0110(1).xlsx</x:v>
      </x:c>
      <x:c r="C146" s="16" t="str">
        <x:v>0110</x:v>
      </x:c>
      <x:c r="D146" s="16" t="str">
        <x:v>Sheet1</x:v>
      </x:c>
      <x:c r="E146" s="22" t="n">
        <x:v>2</x:v>
      </x:c>
      <x:c r="F146" s="16" t="str">
        <x:v>纤维长度/mm（算数平均）</x:v>
      </x:c>
      <x:c r="G146" s="16" t="str">
        <x:v>mm</x:v>
      </x:c>
      <x:c r="H146" s="16" t="str">
        <x:v>直接/条件</x:v>
      </x:c>
      <x:c r="I146" s="16" t="str">
        <x:v>fiber_measurement</x:v>
      </x:c>
      <x:c r="J146" s="16" t="str">
        <x:v>fiber_length_arithmetic_mm</x:v>
      </x:c>
      <x:c r="K146" s="16" t="str">
        <x:v>中间9点插入；zk010和zk100仅与已有纯浆值核对</x:v>
      </x:c>
      <x:c r="L146" s="16" t="str">
        <x:v>空白、—或/转为NULL并记录质量告警</x:v>
      </x:c>
      <x:c r="M146" s="16" t="str">
        <x:v>数值且非负</x:v>
      </x:c>
      <x:c r="N146" s="16" t="str">
        <x:v>端点不覆盖已有测量记录</x:v>
      </x:c>
      <x:c r="O146" s="16" t="str">
        <x:v>是</x:v>
      </x:c>
      <x:c r="P146" s="16" t="str"/>
    </x:row>
    <x:row r="147" ht="34" customHeight="1">
      <x:c r="A147" s="16" t="str">
        <x:v>M143</x:v>
      </x:c>
      <x:c r="B147" s="16" t="str">
        <x:v>data4-针阔-复配-纤维特性0110(1).xlsx</x:v>
      </x:c>
      <x:c r="C147" s="16" t="str">
        <x:v>0110</x:v>
      </x:c>
      <x:c r="D147" s="16" t="str">
        <x:v>Sheet1</x:v>
      </x:c>
      <x:c r="E147" s="22" t="n">
        <x:v>3</x:v>
      </x:c>
      <x:c r="F147" s="16" t="str">
        <x:v>纤维长度/mm（长度加权长）</x:v>
      </x:c>
      <x:c r="G147" s="16" t="str">
        <x:v>mm</x:v>
      </x:c>
      <x:c r="H147" s="16" t="str">
        <x:v>直接/条件</x:v>
      </x:c>
      <x:c r="I147" s="16" t="str">
        <x:v>fiber_measurement</x:v>
      </x:c>
      <x:c r="J147" s="16" t="str">
        <x:v>fiber_length_weighted_mm</x:v>
      </x:c>
      <x:c r="K147" s="16" t="str">
        <x:v>中间9点插入；zk010和zk100仅与已有纯浆值核对</x:v>
      </x:c>
      <x:c r="L147" s="16" t="str">
        <x:v>空白、—或/转为NULL并记录质量告警</x:v>
      </x:c>
      <x:c r="M147" s="16" t="str">
        <x:v>数值且非负</x:v>
      </x:c>
      <x:c r="N147" s="16" t="str">
        <x:v>端点不覆盖已有测量记录</x:v>
      </x:c>
      <x:c r="O147" s="16" t="str">
        <x:v>是</x:v>
      </x:c>
      <x:c r="P147" s="16" t="str"/>
    </x:row>
    <x:row r="148" ht="34" customHeight="1">
      <x:c r="A148" s="16" t="str">
        <x:v>M144</x:v>
      </x:c>
      <x:c r="B148" s="16" t="str">
        <x:v>data4-针阔-复配-纤维特性0110(1).xlsx</x:v>
      </x:c>
      <x:c r="C148" s="16" t="str">
        <x:v>0110</x:v>
      </x:c>
      <x:c r="D148" s="16" t="str">
        <x:v>Sheet1</x:v>
      </x:c>
      <x:c r="E148" s="22" t="n">
        <x:v>4</x:v>
      </x:c>
      <x:c r="F148" s="16" t="str">
        <x:v>宽度/μm</x:v>
      </x:c>
      <x:c r="G148" s="16" t="str">
        <x:v>μm</x:v>
      </x:c>
      <x:c r="H148" s="16" t="str">
        <x:v>直接/条件</x:v>
      </x:c>
      <x:c r="I148" s="16" t="str">
        <x:v>fiber_measurement</x:v>
      </x:c>
      <x:c r="J148" s="16" t="str">
        <x:v>fiber_width_um</x:v>
      </x:c>
      <x:c r="K148" s="16" t="str">
        <x:v>中间9点插入；zk010和zk100仅与已有纯浆值核对</x:v>
      </x:c>
      <x:c r="L148" s="16" t="str">
        <x:v>空白、—或/转为NULL并记录质量告警</x:v>
      </x:c>
      <x:c r="M148" s="16" t="str">
        <x:v>数值且非负</x:v>
      </x:c>
      <x:c r="N148" s="16" t="str">
        <x:v>端点不覆盖已有测量记录</x:v>
      </x:c>
      <x:c r="O148" s="16" t="str">
        <x:v>是</x:v>
      </x:c>
      <x:c r="P148" s="16" t="str"/>
    </x:row>
    <x:row r="149" ht="34" customHeight="1">
      <x:c r="A149" s="16" t="str">
        <x:v>M145</x:v>
      </x:c>
      <x:c r="B149" s="16" t="str">
        <x:v>data4-针阔-复配-纤维特性0110(1).xlsx</x:v>
      </x:c>
      <x:c r="C149" s="16" t="str">
        <x:v>0110</x:v>
      </x:c>
      <x:c r="D149" s="16" t="str">
        <x:v>Sheet1</x:v>
      </x:c>
      <x:c r="E149" s="22" t="n">
        <x:v>5</x:v>
      </x:c>
      <x:c r="F149" s="16" t="str">
        <x:v>粗度（mg/m）</x:v>
      </x:c>
      <x:c r="G149" s="16" t="str">
        <x:v>mg/m</x:v>
      </x:c>
      <x:c r="H149" s="16" t="str">
        <x:v>直接/条件</x:v>
      </x:c>
      <x:c r="I149" s="16" t="str">
        <x:v>fiber_measurement</x:v>
      </x:c>
      <x:c r="J149" s="16" t="str">
        <x:v>fiber_coarseness_mg_m</x:v>
      </x:c>
      <x:c r="K149" s="16" t="str">
        <x:v>中间9点插入；zk010和zk100仅与已有纯浆值核对</x:v>
      </x:c>
      <x:c r="L149" s="16" t="str">
        <x:v>空白、—或/转为NULL并记录质量告警</x:v>
      </x:c>
      <x:c r="M149" s="16" t="str">
        <x:v>数值且非负</x:v>
      </x:c>
      <x:c r="N149" s="16" t="str">
        <x:v>端点不覆盖已有测量记录</x:v>
      </x:c>
      <x:c r="O149" s="16" t="str">
        <x:v>是</x:v>
      </x:c>
      <x:c r="P149" s="16" t="str"/>
    </x:row>
    <x:row r="150" ht="34" customHeight="1">
      <x:c r="A150" s="16" t="str">
        <x:v>M146</x:v>
      </x:c>
      <x:c r="B150" s="16" t="str">
        <x:v>data4-针阔-复配-纤维特性0110(1).xlsx</x:v>
      </x:c>
      <x:c r="C150" s="16" t="str">
        <x:v>0110</x:v>
      </x:c>
      <x:c r="D150" s="16" t="str">
        <x:v>Sheet1</x:v>
      </x:c>
      <x:c r="E150" s="22" t="n">
        <x:v>6</x:v>
      </x:c>
      <x:c r="F150" s="16" t="str">
        <x:v>扭结角（°）</x:v>
      </x:c>
      <x:c r="G150" s="16" t="str">
        <x:v>°</x:v>
      </x:c>
      <x:c r="H150" s="16" t="str">
        <x:v>直接/条件</x:v>
      </x:c>
      <x:c r="I150" s="16" t="str">
        <x:v>fiber_measurement</x:v>
      </x:c>
      <x:c r="J150" s="16" t="str">
        <x:v>kink_angle_deg</x:v>
      </x:c>
      <x:c r="K150" s="16" t="str">
        <x:v>中间9点插入；zk010和zk100仅与已有纯浆值核对</x:v>
      </x:c>
      <x:c r="L150" s="16" t="str">
        <x:v>空白、—或/转为NULL并记录质量告警</x:v>
      </x:c>
      <x:c r="M150" s="16" t="str">
        <x:v>数值且非负</x:v>
      </x:c>
      <x:c r="N150" s="16" t="str">
        <x:v>端点不覆盖已有测量记录</x:v>
      </x:c>
      <x:c r="O150" s="16" t="str">
        <x:v>是</x:v>
      </x:c>
      <x:c r="P150" s="16" t="str"/>
    </x:row>
    <x:row r="151" ht="34" customHeight="1">
      <x:c r="A151" s="16" t="str">
        <x:v>M147</x:v>
      </x:c>
      <x:c r="B151" s="16" t="str">
        <x:v>data4-针阔-复配-纤维特性0110(1).xlsx</x:v>
      </x:c>
      <x:c r="C151" s="16" t="str">
        <x:v>0110</x:v>
      </x:c>
      <x:c r="D151" s="16" t="str">
        <x:v>Sheet1</x:v>
      </x:c>
      <x:c r="E151" s="22" t="n">
        <x:v>7</x:v>
      </x:c>
      <x:c r="F151" s="16" t="str">
        <x:v>扭结纤维（%）</x:v>
      </x:c>
      <x:c r="G151" s="16" t="str">
        <x:v>%</x:v>
      </x:c>
      <x:c r="H151" s="16" t="str">
        <x:v>直接/条件</x:v>
      </x:c>
      <x:c r="I151" s="16" t="str">
        <x:v>fiber_measurement</x:v>
      </x:c>
      <x:c r="J151" s="16" t="str">
        <x:v>kinked_fiber_pct</x:v>
      </x:c>
      <x:c r="K151" s="16" t="str">
        <x:v>中间9点插入；zk010和zk100仅与已有纯浆值核对</x:v>
      </x:c>
      <x:c r="L151" s="16" t="str">
        <x:v>空白、—或/转为NULL并记录质量告警</x:v>
      </x:c>
      <x:c r="M151" s="16" t="str">
        <x:v>数值且非负</x:v>
      </x:c>
      <x:c r="N151" s="16" t="str">
        <x:v>端点不覆盖已有测量记录</x:v>
      </x:c>
      <x:c r="O151" s="16" t="str">
        <x:v>是</x:v>
      </x:c>
      <x:c r="P151" s="16" t="str"/>
    </x:row>
    <x:row r="152" ht="34" customHeight="1">
      <x:c r="A152" s="16" t="str">
        <x:v>M148</x:v>
      </x:c>
      <x:c r="B152" s="16" t="str">
        <x:v>data4-针阔-复配-纤维特性0110(1).xlsx</x:v>
      </x:c>
      <x:c r="C152" s="16" t="str">
        <x:v>0110</x:v>
      </x:c>
      <x:c r="D152" s="16" t="str">
        <x:v>Sheet1</x:v>
      </x:c>
      <x:c r="E152" s="22" t="n">
        <x:v>8</x:v>
      </x:c>
      <x:c r="F152" s="16" t="str">
        <x:v>弯曲（%）</x:v>
      </x:c>
      <x:c r="G152" s="16" t="str">
        <x:v>%</x:v>
      </x:c>
      <x:c r="H152" s="16" t="str">
        <x:v>直接/条件</x:v>
      </x:c>
      <x:c r="I152" s="16" t="str">
        <x:v>fiber_measurement</x:v>
      </x:c>
      <x:c r="J152" s="16" t="str">
        <x:v>curved_fiber_pct</x:v>
      </x:c>
      <x:c r="K152" s="16" t="str">
        <x:v>中间9点插入；zk010和zk100仅与已有纯浆值核对</x:v>
      </x:c>
      <x:c r="L152" s="16" t="str">
        <x:v>空白、—或/转为NULL并记录质量告警</x:v>
      </x:c>
      <x:c r="M152" s="16" t="str">
        <x:v>数值且非负</x:v>
      </x:c>
      <x:c r="N152" s="16" t="str">
        <x:v>端点不覆盖已有测量记录</x:v>
      </x:c>
      <x:c r="O152" s="16" t="str">
        <x:v>是</x:v>
      </x:c>
      <x:c r="P152" s="16" t="str"/>
    </x:row>
    <x:row r="153" ht="34" customHeight="1">
      <x:c r="A153" s="16" t="str">
        <x:v>M149</x:v>
      </x:c>
      <x:c r="B153" s="16" t="str">
        <x:v>data4-针阔-复配-纤维特性0110(1).xlsx</x:v>
      </x:c>
      <x:c r="C153" s="16" t="str">
        <x:v>0110</x:v>
      </x:c>
      <x:c r="D153" s="16" t="str">
        <x:v>Sheet1</x:v>
      </x:c>
      <x:c r="E153" s="22" t="n">
        <x:v>9</x:v>
      </x:c>
      <x:c r="F153" s="16" t="str">
        <x:v>分丝帚化长度比（%）</x:v>
      </x:c>
      <x:c r="G153" s="16" t="str">
        <x:v>%</x:v>
      </x:c>
      <x:c r="H153" s="16" t="str">
        <x:v>直接/条件</x:v>
      </x:c>
      <x:c r="I153" s="16" t="str">
        <x:v>fiber_measurement</x:v>
      </x:c>
      <x:c r="J153" s="16" t="str">
        <x:v>fibrillation_length_pct</x:v>
      </x:c>
      <x:c r="K153" s="16" t="str">
        <x:v>中间9点插入；zk010和zk100仅与已有纯浆值核对</x:v>
      </x:c>
      <x:c r="L153" s="16" t="str">
        <x:v>空白、—或/转为NULL并记录质量告警</x:v>
      </x:c>
      <x:c r="M153" s="16" t="str">
        <x:v>数值且非负</x:v>
      </x:c>
      <x:c r="N153" s="16" t="str">
        <x:v>端点不覆盖已有测量记录</x:v>
      </x:c>
      <x:c r="O153" s="16" t="str">
        <x:v>是</x:v>
      </x:c>
      <x:c r="P153" s="16" t="str"/>
    </x:row>
    <x:row r="154" ht="34" customHeight="1">
      <x:c r="A154" s="16" t="str">
        <x:v>M150</x:v>
      </x:c>
      <x:c r="B154" s="16" t="str">
        <x:v>data4-针阔-复配-纤维特性0110(1).xlsx</x:v>
      </x:c>
      <x:c r="C154" s="16" t="str">
        <x:v>0110</x:v>
      </x:c>
      <x:c r="D154" s="16" t="str">
        <x:v>Sheet1</x:v>
      </x:c>
      <x:c r="E154" s="22" t="n">
        <x:v>10</x:v>
      </x:c>
      <x:c r="F154" s="16" t="str">
        <x:v>折断纤维比（%）</x:v>
      </x:c>
      <x:c r="G154" s="16" t="str">
        <x:v>%</x:v>
      </x:c>
      <x:c r="H154" s="16" t="str">
        <x:v>直接/条件</x:v>
      </x:c>
      <x:c r="I154" s="16" t="str">
        <x:v>fiber_measurement</x:v>
      </x:c>
      <x:c r="J154" s="16" t="str">
        <x:v>broken_fiber_pct</x:v>
      </x:c>
      <x:c r="K154" s="16" t="str">
        <x:v>中间9点插入；zk010和zk100仅与已有纯浆值核对</x:v>
      </x:c>
      <x:c r="L154" s="16" t="str">
        <x:v>空白、—或/转为NULL并记录质量告警</x:v>
      </x:c>
      <x:c r="M154" s="16" t="str">
        <x:v>数值且非负</x:v>
      </x:c>
      <x:c r="N154" s="16" t="str">
        <x:v>端点不覆盖已有测量记录</x:v>
      </x:c>
      <x:c r="O154" s="16" t="str">
        <x:v>是</x:v>
      </x:c>
      <x:c r="P154" s="16" t="str"/>
    </x:row>
    <x:row r="155" ht="34" customHeight="1">
      <x:c r="A155" s="16" t="str">
        <x:v>M151</x:v>
      </x:c>
      <x:c r="B155" s="16" t="str">
        <x:v>data4-针阔-复配-纤维特性0110(1).xlsx</x:v>
      </x:c>
      <x:c r="C155" s="16" t="str">
        <x:v>0110</x:v>
      </x:c>
      <x:c r="D155" s="16" t="str">
        <x:v>Sheet1</x:v>
      </x:c>
      <x:c r="E155" s="22" t="n">
        <x:v>11</x:v>
      </x:c>
      <x:c r="F155" s="16" t="str">
        <x:v>细小纤维（长度比%）</x:v>
      </x:c>
      <x:c r="G155" s="16" t="str">
        <x:v>%</x:v>
      </x:c>
      <x:c r="H155" s="16" t="str">
        <x:v>直接/条件</x:v>
      </x:c>
      <x:c r="I155" s="16" t="str">
        <x:v>fiber_measurement</x:v>
      </x:c>
      <x:c r="J155" s="16" t="str">
        <x:v>fines_length_pct</x:v>
      </x:c>
      <x:c r="K155" s="16" t="str">
        <x:v>中间9点插入；zk010和zk100仅与已有纯浆值核对</x:v>
      </x:c>
      <x:c r="L155" s="16" t="str">
        <x:v>空白、—或/转为NULL并记录质量告警</x:v>
      </x:c>
      <x:c r="M155" s="16" t="str">
        <x:v>数值且非负</x:v>
      </x:c>
      <x:c r="N155" s="16" t="str">
        <x:v>端点不覆盖已有测量记录</x:v>
      </x:c>
      <x:c r="O155" s="16" t="str">
        <x:v>是</x:v>
      </x:c>
      <x:c r="P155" s="16" t="str"/>
    </x:row>
    <x:row r="156" ht="34" customHeight="1">
      <x:c r="A156" s="16" t="str">
        <x:v>M152</x:v>
      </x:c>
      <x:c r="B156" s="16" t="str">
        <x:v>data4-针阔-复配-纤维特性0110(1).xlsx</x:v>
      </x:c>
      <x:c r="C156" s="16" t="str">
        <x:v>0110</x:v>
      </x:c>
      <x:c r="D156" s="16" t="str">
        <x:v>Sheet1</x:v>
      </x:c>
      <x:c r="E156" s="22" t="n">
        <x:v>12</x:v>
      </x:c>
      <x:c r="F156" s="16" t="str">
        <x:v>细小纤维（长度加权比%）</x:v>
      </x:c>
      <x:c r="G156" s="16" t="str">
        <x:v>%</x:v>
      </x:c>
      <x:c r="H156" s="16" t="str">
        <x:v>直接/条件</x:v>
      </x:c>
      <x:c r="I156" s="16" t="str">
        <x:v>fiber_measurement</x:v>
      </x:c>
      <x:c r="J156" s="16" t="str">
        <x:v>fines_weighted_length_pct</x:v>
      </x:c>
      <x:c r="K156" s="16" t="str">
        <x:v>中间9点插入；zk010和zk100仅与已有纯浆值核对</x:v>
      </x:c>
      <x:c r="L156" s="16" t="str">
        <x:v>空白、—或/转为NULL并记录质量告警</x:v>
      </x:c>
      <x:c r="M156" s="16" t="str">
        <x:v>数值且非负</x:v>
      </x:c>
      <x:c r="N156" s="16" t="str">
        <x:v>端点不覆盖已有测量记录</x:v>
      </x:c>
      <x:c r="O156" s="16" t="str">
        <x:v>是</x:v>
      </x:c>
      <x:c r="P156" s="16" t="str"/>
    </x:row>
    <x:row r="157" ht="34" customHeight="1">
      <x:c r="A157" s="16" t="str">
        <x:v>M153</x:v>
      </x:c>
      <x:c r="B157" s="16" t="str">
        <x:v>data4-针阔-复配-纤维特性0110(1).xlsx</x:v>
      </x:c>
      <x:c r="C157" s="16" t="str">
        <x:v>0110</x:v>
      </x:c>
      <x:c r="D157" s="16" t="str">
        <x:v>Sheet1</x:v>
      </x:c>
      <x:c r="E157" s="22" t="n">
        <x:v>13</x:v>
      </x:c>
      <x:c r="F157" s="16" t="str">
        <x:v>细小纤维面积比（%）</x:v>
      </x:c>
      <x:c r="G157" s="16" t="str">
        <x:v>%</x:v>
      </x:c>
      <x:c r="H157" s="16" t="str">
        <x:v>直接/条件</x:v>
      </x:c>
      <x:c r="I157" s="16" t="str">
        <x:v>fiber_measurement</x:v>
      </x:c>
      <x:c r="J157" s="16" t="str">
        <x:v>fines_area_pct</x:v>
      </x:c>
      <x:c r="K157" s="16" t="str">
        <x:v>中间9点插入；zk010和zk100仅与已有纯浆值核对</x:v>
      </x:c>
      <x:c r="L157" s="16" t="str">
        <x:v>空白、—或/转为NULL并记录质量告警</x:v>
      </x:c>
      <x:c r="M157" s="16" t="str">
        <x:v>数值且非负</x:v>
      </x:c>
      <x:c r="N157" s="16" t="str">
        <x:v>端点不覆盖已有测量记录</x:v>
      </x:c>
      <x:c r="O157" s="16" t="str">
        <x:v>是</x:v>
      </x:c>
      <x:c r="P157" s="16" t="str"/>
    </x:row>
    <x:row r="158" ht="34" customHeight="1">
      <x:c r="A158" s="16" t="str">
        <x:v>M154</x:v>
      </x:c>
      <x:c r="B158" s="16" t="str">
        <x:v>data4-针阔-复配-纤维特性0110(1).xlsx</x:v>
      </x:c>
      <x:c r="C158" s="16" t="str">
        <x:v>0110</x:v>
      </x:c>
      <x:c r="D158" s="16" t="str">
        <x:v>Sheet1</x:v>
      </x:c>
      <x:c r="E158" s="22" t="n">
        <x:v>1</x:v>
      </x:c>
      <x:c r="F158" s="16" t="str">
        <x:v>复配编号（源表A列无表头）</x:v>
      </x:c>
      <x:c r="G158" s="16" t="str">
        <x:v>—</x:v>
      </x:c>
      <x:c r="H158" s="16" t="str">
        <x:v>查找/条件</x:v>
      </x:c>
      <x:c r="I158" s="16" t="str">
        <x:v>fiber_measurement</x:v>
      </x:c>
      <x:c r="J158" s="16" t="str">
        <x:v>sample_id</x:v>
      </x:c>
      <x:c r="K158" s="16" t="str">
        <x:v>按复配代码定位sample_id；仅中间9点执行插入</x:v>
      </x:c>
      <x:c r="L158" s="16" t="str">
        <x:v>禁止为空</x:v>
      </x:c>
      <x:c r="M158" s="16" t="str">
        <x:v>必须唯一命中</x:v>
      </x:c>
      <x:c r="N158" s="16" t="str">
        <x:v>端点只执行一致性核对</x:v>
      </x:c>
      <x:c r="O158" s="16" t="str">
        <x:v>是</x:v>
      </x:c>
      <x:c r="P158" s="16" t="str"/>
    </x:row>
    <x:row r="159" ht="34" customHeight="1">
      <x:c r="A159" s="16" t="str">
        <x:v>M155</x:v>
      </x:c>
      <x:c r="B159" s="16" t="str">
        <x:v>data4-针阔-复配-纤维特性0110(1).xlsx</x:v>
      </x:c>
      <x:c r="C159" s="16" t="str">
        <x:v>0110</x:v>
      </x:c>
      <x:c r="D159" s="16" t="str">
        <x:v>Sheet1</x:v>
      </x:c>
      <x:c r="E159" s="22" t="n">
        <x:v>0</x:v>
      </x:c>
      <x:c r="F159" s="16" t="str">
        <x:v>〈当前来源行〉</x:v>
      </x:c>
      <x:c r="G159" s="16" t="str">
        <x:v>—</x:v>
      </x:c>
      <x:c r="H159" s="16" t="str">
        <x:v>关联</x:v>
      </x:c>
      <x:c r="I159" s="16" t="str">
        <x:v>fiber_measurement</x:v>
      </x:c>
      <x:c r="J159" s="16" t="str">
        <x:v>source_id</x:v>
      </x:c>
      <x:c r="K159" s="16" t="str">
        <x:v>引用本行data_source.source_id</x:v>
      </x:c>
      <x:c r="L159" s="16" t="str">
        <x:v>禁止为空</x:v>
      </x:c>
      <x:c r="M159" s="16" t="str">
        <x:v>外键有效</x:v>
      </x:c>
      <x:c r="N159" s="16" t="str">
        <x:v>仅中间9点写入测量表</x:v>
      </x:c>
      <x:c r="O159" s="16" t="str">
        <x:v>是</x:v>
      </x:c>
      <x:c r="P159" s="16" t="str"/>
    </x:row>
    <x:row r="160" ht="34" customHeight="1">
      <x:c r="A160" s="16" t="str">
        <x:v>M156</x:v>
      </x:c>
      <x:c r="B160" s="16" t="str">
        <x:v>data5-针阔-复配-纸张特性0110(1).xlsx</x:v>
      </x:c>
      <x:c r="C160" s="16" t="str">
        <x:v>0110</x:v>
      </x:c>
      <x:c r="D160" s="16" t="str">
        <x:v>Sheet1</x:v>
      </x:c>
      <x:c r="E160" s="22" t="n">
        <x:v>0</x:v>
      </x:c>
      <x:c r="F160" s="16" t="str">
        <x:v>〈文件名〉</x:v>
      </x:c>
      <x:c r="G160" s="16" t="str">
        <x:v>—</x:v>
      </x:c>
      <x:c r="H160" s="16" t="str">
        <x:v>来源元数据</x:v>
      </x:c>
      <x:c r="I160" s="16" t="str">
        <x:v>data_source</x:v>
      </x:c>
      <x:c r="J160" s="16" t="str">
        <x:v>file_name</x:v>
      </x:c>
      <x:c r="K160" s="16" t="str">
        <x:v>写入当前原始文件名</x:v>
      </x:c>
      <x:c r="L160" s="16" t="str">
        <x:v>禁止为空</x:v>
      </x:c>
      <x:c r="M160" s="16" t="str">
        <x:v>必须在正式来源白名单中</x:v>
      </x:c>
      <x:c r="N160" s="16" t="str">
        <x:v>旧复配版或汇总文件立即终止该批</x:v>
      </x:c>
      <x:c r="O160" s="16" t="str">
        <x:v>是</x:v>
      </x:c>
      <x:c r="P160" s="16" t="str"/>
    </x:row>
    <x:row r="161" ht="34" customHeight="1">
      <x:c r="A161" s="16" t="str">
        <x:v>M157</x:v>
      </x:c>
      <x:c r="B161" s="16" t="str">
        <x:v>data5-针阔-复配-纸张特性0110(1).xlsx</x:v>
      </x:c>
      <x:c r="C161" s="16" t="str">
        <x:v>0110</x:v>
      </x:c>
      <x:c r="D161" s="16" t="str">
        <x:v>Sheet1</x:v>
      </x:c>
      <x:c r="E161" s="22" t="n">
        <x:v>0</x:v>
      </x:c>
      <x:c r="F161" s="16" t="str">
        <x:v>〈工作表名〉</x:v>
      </x:c>
      <x:c r="G161" s="16" t="str">
        <x:v>—</x:v>
      </x:c>
      <x:c r="H161" s="16" t="str">
        <x:v>来源元数据</x:v>
      </x:c>
      <x:c r="I161" s="16" t="str">
        <x:v>data_source</x:v>
      </x:c>
      <x:c r="J161" s="16" t="str">
        <x:v>sheet_name</x:v>
      </x:c>
      <x:c r="K161" s="16" t="str">
        <x:v>固定写入Sheet1</x:v>
      </x:c>
      <x:c r="L161" s="16" t="str">
        <x:v>禁止为空</x:v>
      </x:c>
      <x:c r="M161" s="16" t="str">
        <x:v>仅允许有效工作表Sheet1</x:v>
      </x:c>
      <x:c r="N161" s="16" t="str">
        <x:v>空白Sheet2/Sheet3不处理</x:v>
      </x:c>
      <x:c r="O161" s="16" t="str">
        <x:v>是</x:v>
      </x:c>
      <x:c r="P161" s="16" t="str"/>
    </x:row>
    <x:row r="162" ht="34" customHeight="1">
      <x:c r="A162" s="16" t="str">
        <x:v>M158</x:v>
      </x:c>
      <x:c r="B162" s="16" t="str">
        <x:v>data5-针阔-复配-纸张特性0110(1).xlsx</x:v>
      </x:c>
      <x:c r="C162" s="16" t="str">
        <x:v>0110</x:v>
      </x:c>
      <x:c r="D162" s="16" t="str">
        <x:v>Sheet1</x:v>
      </x:c>
      <x:c r="E162" s="22" t="n">
        <x:v>0</x:v>
      </x:c>
      <x:c r="F162" s="16" t="str">
        <x:v>〈Excel行号〉</x:v>
      </x:c>
      <x:c r="G162" s="16" t="str">
        <x:v>行</x:v>
      </x:c>
      <x:c r="H162" s="16" t="str">
        <x:v>系统生成</x:v>
      </x:c>
      <x:c r="I162" s="16" t="str">
        <x:v>data_source</x:v>
      </x:c>
      <x:c r="J162" s="16" t="str">
        <x:v>source_row</x:v>
      </x:c>
      <x:c r="K162" s="16" t="str">
        <x:v>写入原始数据所在Excel实际行号</x:v>
      </x:c>
      <x:c r="L162" s="16" t="str">
        <x:v>禁止为空</x:v>
      </x:c>
      <x:c r="M162" s="16" t="str">
        <x:v>&gt;=2且为整数</x:v>
      </x:c>
      <x:c r="N162" s="16" t="str">
        <x:v>同文件、工作表、行号不得重复</x:v>
      </x:c>
      <x:c r="O162" s="16" t="str">
        <x:v>是</x:v>
      </x:c>
      <x:c r="P162" s="16" t="str"/>
    </x:row>
    <x:row r="163" ht="34" customHeight="1">
      <x:c r="A163" s="16" t="str">
        <x:v>M159</x:v>
      </x:c>
      <x:c r="B163" s="16" t="str">
        <x:v>data5-针阔-复配-纸张特性0110(1).xlsx</x:v>
      </x:c>
      <x:c r="C163" s="16" t="str">
        <x:v>0110</x:v>
      </x:c>
      <x:c r="D163" s="16" t="str">
        <x:v>Sheet1</x:v>
      </x:c>
      <x:c r="E163" s="22" t="n">
        <x:v>0</x:v>
      </x:c>
      <x:c r="F163" s="16" t="str">
        <x:v>〈来源版本〉</x:v>
      </x:c>
      <x:c r="G163" s="16" t="str">
        <x:v>—</x:v>
      </x:c>
      <x:c r="H163" s="16" t="str">
        <x:v>文件上下文</x:v>
      </x:c>
      <x:c r="I163" s="16" t="str">
        <x:v>data_source</x:v>
      </x:c>
      <x:c r="J163" s="16" t="str">
        <x:v>source_version</x:v>
      </x:c>
      <x:c r="K163" s="16" t="str">
        <x:v>固定写入0110</x:v>
      </x:c>
      <x:c r="L163" s="16" t="str">
        <x:v>禁止为空</x:v>
      </x:c>
      <x:c r="M163" s="16" t="str">
        <x:v>复配文件必须为0110</x:v>
      </x:c>
      <x:c r="N163" s="16" t="str">
        <x:v>旧版不得覆盖0110</x:v>
      </x:c>
      <x:c r="O163" s="16" t="str">
        <x:v>是</x:v>
      </x:c>
      <x:c r="P163" s="16" t="str"/>
    </x:row>
    <x:row r="164" ht="34" customHeight="1">
      <x:c r="A164" s="16" t="str">
        <x:v>M160</x:v>
      </x:c>
      <x:c r="B164" s="16" t="str">
        <x:v>data5-针阔-复配-纸张特性0110(1).xlsx</x:v>
      </x:c>
      <x:c r="C164" s="16" t="str">
        <x:v>0110</x:v>
      </x:c>
      <x:c r="D164" s="16" t="str">
        <x:v>Sheet1</x:v>
      </x:c>
      <x:c r="E164" s="22" t="n">
        <x:v>0</x:v>
      </x:c>
      <x:c r="F164" s="16" t="str">
        <x:v>〈导入时间〉</x:v>
      </x:c>
      <x:c r="G164" s="16" t="str">
        <x:v>—</x:v>
      </x:c>
      <x:c r="H164" s="16" t="str">
        <x:v>系统生成</x:v>
      </x:c>
      <x:c r="I164" s="16" t="str">
        <x:v>data_source</x:v>
      </x:c>
      <x:c r="J164" s="16" t="str">
        <x:v>imported_at</x:v>
      </x:c>
      <x:c r="K164" s="16" t="str">
        <x:v>由PostgreSQL CURRENT_TIMESTAMP生成</x:v>
      </x:c>
      <x:c r="L164" s="16" t="str">
        <x:v>禁止为空</x:v>
      </x:c>
      <x:c r="M164" s="16" t="str">
        <x:v>TIMESTAMPTZ有效值</x:v>
      </x:c>
      <x:c r="N164" s="16" t="str">
        <x:v>不从Excel读取</x:v>
      </x:c>
      <x:c r="O164" s="16" t="str">
        <x:v>是</x:v>
      </x:c>
      <x:c r="P164" s="16" t="str"/>
    </x:row>
    <x:row r="165" ht="34" customHeight="1">
      <x:c r="A165" s="16" t="str">
        <x:v>M161</x:v>
      </x:c>
      <x:c r="B165" s="16" t="str">
        <x:v>data5-针阔-复配-纸张特性0110(1).xlsx</x:v>
      </x:c>
      <x:c r="C165" s="16" t="str">
        <x:v>0110</x:v>
      </x:c>
      <x:c r="D165" s="16" t="str">
        <x:v>Sheet1</x:v>
      </x:c>
      <x:c r="E165" s="22" t="n">
        <x:v>1</x:v>
      </x:c>
      <x:c r="F165" s="16" t="str">
        <x:v>复配编号（源表A列无表头）</x:v>
      </x:c>
      <x:c r="G165" s="16" t="str">
        <x:v>—</x:v>
      </x:c>
      <x:c r="H165" s="16" t="str">
        <x:v>关联键</x:v>
      </x:c>
      <x:c r="I165" s="16" t="str">
        <x:v>paper_measurement</x:v>
      </x:c>
      <x:c r="J165" s="16" t="str">
        <x:v>sample_id</x:v>
      </x:c>
      <x:c r="K165" s="16" t="str">
        <x:v>按zk代码定位与复配纤维文件一致的sample_id</x:v>
      </x:c>
      <x:c r="L165" s="16" t="str">
        <x:v>禁止为空</x:v>
      </x:c>
      <x:c r="M165" s="16" t="str">
        <x:v>必须唯一命中</x:v>
      </x:c>
      <x:c r="N165" s="16" t="str">
        <x:v>不得从纸张文件新建样本</x:v>
      </x:c>
      <x:c r="O165" s="16" t="str">
        <x:v>是</x:v>
      </x:c>
      <x:c r="P165" s="16" t="str"/>
    </x:row>
    <x:row r="166" ht="34" customHeight="1">
      <x:c r="A166" s="16" t="str">
        <x:v>M162</x:v>
      </x:c>
      <x:c r="B166" s="16" t="str">
        <x:v>data5-针阔-复配-纸张特性0110(1).xlsx</x:v>
      </x:c>
      <x:c r="C166" s="16" t="str">
        <x:v>0110</x:v>
      </x:c>
      <x:c r="D166" s="16" t="str">
        <x:v>Sheet1</x:v>
      </x:c>
      <x:c r="E166" s="22" t="n">
        <x:v>2</x:v>
      </x:c>
      <x:c r="F166" s="16" t="str">
        <x:v>定量(g/m2)</x:v>
      </x:c>
      <x:c r="G166" s="16" t="str">
        <x:v>g/m²</x:v>
      </x:c>
      <x:c r="H166" s="16" t="str">
        <x:v>直接/条件</x:v>
      </x:c>
      <x:c r="I166" s="16" t="str">
        <x:v>paper_measurement</x:v>
      </x:c>
      <x:c r="J166" s="16" t="str">
        <x:v>basis_weight_g_m2</x:v>
      </x:c>
      <x:c r="K166" s="16" t="str">
        <x:v>中间9点插入；zk010和zk100仅与已有纯浆值核对</x:v>
      </x:c>
      <x:c r="L166" s="16" t="str">
        <x:v>空白、—或/转为NULL并记录质量告警</x:v>
      </x:c>
      <x:c r="M166" s="16" t="str">
        <x:v>数值且非负</x:v>
      </x:c>
      <x:c r="N166" s="16" t="str">
        <x:v>端点不覆盖已有测量记录</x:v>
      </x:c>
      <x:c r="O166" s="16" t="str">
        <x:v>是</x:v>
      </x:c>
      <x:c r="P166" s="16" t="str"/>
    </x:row>
    <x:row r="167" ht="34" customHeight="1">
      <x:c r="A167" s="16" t="str">
        <x:v>M163</x:v>
      </x:c>
      <x:c r="B167" s="16" t="str">
        <x:v>data5-针阔-复配-纸张特性0110(1).xlsx</x:v>
      </x:c>
      <x:c r="C167" s="16" t="str">
        <x:v>0110</x:v>
      </x:c>
      <x:c r="D167" s="16" t="str">
        <x:v>Sheet1</x:v>
      </x:c>
      <x:c r="E167" s="22" t="n">
        <x:v>3</x:v>
      </x:c>
      <x:c r="F167" s="16" t="str">
        <x:v>厚度(μm)</x:v>
      </x:c>
      <x:c r="G167" s="16" t="str">
        <x:v>μm</x:v>
      </x:c>
      <x:c r="H167" s="16" t="str">
        <x:v>直接/条件</x:v>
      </x:c>
      <x:c r="I167" s="16" t="str">
        <x:v>paper_measurement</x:v>
      </x:c>
      <x:c r="J167" s="16" t="str">
        <x:v>thickness_um</x:v>
      </x:c>
      <x:c r="K167" s="16" t="str">
        <x:v>中间9点插入；zk010和zk100仅与已有纯浆值核对</x:v>
      </x:c>
      <x:c r="L167" s="16" t="str">
        <x:v>空白、—或/转为NULL并记录质量告警</x:v>
      </x:c>
      <x:c r="M167" s="16" t="str">
        <x:v>数值且非负</x:v>
      </x:c>
      <x:c r="N167" s="16" t="str">
        <x:v>端点不覆盖已有测量记录</x:v>
      </x:c>
      <x:c r="O167" s="16" t="str">
        <x:v>是</x:v>
      </x:c>
      <x:c r="P167" s="16" t="str"/>
    </x:row>
    <x:row r="168" ht="34" customHeight="1">
      <x:c r="A168" s="16" t="str">
        <x:v>M164</x:v>
      </x:c>
      <x:c r="B168" s="16" t="str">
        <x:v>data5-针阔-复配-纸张特性0110(1).xlsx</x:v>
      </x:c>
      <x:c r="C168" s="16" t="str">
        <x:v>0110</x:v>
      </x:c>
      <x:c r="D168" s="16" t="str">
        <x:v>Sheet1</x:v>
      </x:c>
      <x:c r="E168" s="22" t="n">
        <x:v>4</x:v>
      </x:c>
      <x:c r="F168" s="16" t="str">
        <x:v>耐破指数(kPa·m2·g-1)</x:v>
      </x:c>
      <x:c r="G168" s="16" t="str">
        <x:v>kPa·m²/g</x:v>
      </x:c>
      <x:c r="H168" s="16" t="str">
        <x:v>直接/条件</x:v>
      </x:c>
      <x:c r="I168" s="16" t="str">
        <x:v>paper_measurement</x:v>
      </x:c>
      <x:c r="J168" s="16" t="str">
        <x:v>burst_index</x:v>
      </x:c>
      <x:c r="K168" s="16" t="str">
        <x:v>中间9点插入；zk010和zk100仅与已有纯浆值核对</x:v>
      </x:c>
      <x:c r="L168" s="16" t="str">
        <x:v>空白、—或/转为NULL并记录质量告警</x:v>
      </x:c>
      <x:c r="M168" s="16" t="str">
        <x:v>数值且非负</x:v>
      </x:c>
      <x:c r="N168" s="16" t="str">
        <x:v>端点不覆盖已有测量记录</x:v>
      </x:c>
      <x:c r="O168" s="16" t="str">
        <x:v>是</x:v>
      </x:c>
      <x:c r="P168" s="16" t="str"/>
    </x:row>
    <x:row r="169" ht="34" customHeight="1">
      <x:c r="A169" s="16" t="str">
        <x:v>M165</x:v>
      </x:c>
      <x:c r="B169" s="16" t="str">
        <x:v>data5-针阔-复配-纸张特性0110(1).xlsx</x:v>
      </x:c>
      <x:c r="C169" s="16" t="str">
        <x:v>0110</x:v>
      </x:c>
      <x:c r="D169" s="16" t="str">
        <x:v>Sheet1</x:v>
      </x:c>
      <x:c r="E169" s="22" t="n">
        <x:v>5</x:v>
      </x:c>
      <x:c r="F169" s="16" t="str">
        <x:v>撕裂指数(mN·m2·g-1)</x:v>
      </x:c>
      <x:c r="G169" s="16" t="str">
        <x:v>mN·m²/g</x:v>
      </x:c>
      <x:c r="H169" s="16" t="str">
        <x:v>直接/条件</x:v>
      </x:c>
      <x:c r="I169" s="16" t="str">
        <x:v>paper_measurement</x:v>
      </x:c>
      <x:c r="J169" s="16" t="str">
        <x:v>tear_index</x:v>
      </x:c>
      <x:c r="K169" s="16" t="str">
        <x:v>中间9点插入；zk010和zk100仅与已有纯浆值核对</x:v>
      </x:c>
      <x:c r="L169" s="16" t="str">
        <x:v>空白、—或/转为NULL并记录质量告警</x:v>
      </x:c>
      <x:c r="M169" s="16" t="str">
        <x:v>数值且非负</x:v>
      </x:c>
      <x:c r="N169" s="16" t="str">
        <x:v>端点不覆盖已有测量记录</x:v>
      </x:c>
      <x:c r="O169" s="16" t="str">
        <x:v>是</x:v>
      </x:c>
      <x:c r="P169" s="16" t="str"/>
    </x:row>
    <x:row r="170" ht="34" customHeight="1">
      <x:c r="A170" s="16" t="str">
        <x:v>M166</x:v>
      </x:c>
      <x:c r="B170" s="16" t="str">
        <x:v>data5-针阔-复配-纸张特性0110(1).xlsx</x:v>
      </x:c>
      <x:c r="C170" s="16" t="str">
        <x:v>0110</x:v>
      </x:c>
      <x:c r="D170" s="16" t="str">
        <x:v>Sheet1</x:v>
      </x:c>
      <x:c r="E170" s="22" t="n">
        <x:v>6</x:v>
      </x:c>
      <x:c r="F170" s="16" t="str">
        <x:v>抗张指数(N·m·g-1)</x:v>
      </x:c>
      <x:c r="G170" s="16" t="str">
        <x:v>N·m/g</x:v>
      </x:c>
      <x:c r="H170" s="16" t="str">
        <x:v>直接/条件</x:v>
      </x:c>
      <x:c r="I170" s="16" t="str">
        <x:v>paper_measurement</x:v>
      </x:c>
      <x:c r="J170" s="16" t="str">
        <x:v>tensile_index</x:v>
      </x:c>
      <x:c r="K170" s="16" t="str">
        <x:v>中间9点插入；zk010和zk100仅与已有纯浆值核对</x:v>
      </x:c>
      <x:c r="L170" s="16" t="str">
        <x:v>空白、—或/转为NULL并记录质量告警</x:v>
      </x:c>
      <x:c r="M170" s="16" t="str">
        <x:v>数值且非负</x:v>
      </x:c>
      <x:c r="N170" s="16" t="str">
        <x:v>端点不覆盖已有测量记录</x:v>
      </x:c>
      <x:c r="O170" s="16" t="str">
        <x:v>是</x:v>
      </x:c>
      <x:c r="P170" s="16" t="str"/>
    </x:row>
    <x:row r="171" ht="34" customHeight="1">
      <x:c r="A171" s="16" t="str">
        <x:v>M167</x:v>
      </x:c>
      <x:c r="B171" s="16" t="str">
        <x:v>data5-针阔-复配-纸张特性0110(1).xlsx</x:v>
      </x:c>
      <x:c r="C171" s="16" t="str">
        <x:v>0110</x:v>
      </x:c>
      <x:c r="D171" s="16" t="str">
        <x:v>Sheet1</x:v>
      </x:c>
      <x:c r="E171" s="22" t="n">
        <x:v>7</x:v>
      </x:c>
      <x:c r="F171" s="16" t="str">
        <x:v>零距抗张强度(N/cm)</x:v>
      </x:c>
      <x:c r="G171" s="16" t="str">
        <x:v>N/cm</x:v>
      </x:c>
      <x:c r="H171" s="16" t="str">
        <x:v>直接/条件</x:v>
      </x:c>
      <x:c r="I171" s="16" t="str">
        <x:v>paper_measurement</x:v>
      </x:c>
      <x:c r="J171" s="16" t="str">
        <x:v>zero_span_tensile</x:v>
      </x:c>
      <x:c r="K171" s="16" t="str">
        <x:v>中间9点插入；zk010和zk100仅与已有纯浆值核对</x:v>
      </x:c>
      <x:c r="L171" s="16" t="str">
        <x:v>空白、—或/转为NULL并记录质量告警</x:v>
      </x:c>
      <x:c r="M171" s="16" t="str">
        <x:v>数值且非负</x:v>
      </x:c>
      <x:c r="N171" s="16" t="str">
        <x:v>端点不覆盖已有测量记录</x:v>
      </x:c>
      <x:c r="O171" s="16" t="str">
        <x:v>是</x:v>
      </x:c>
      <x:c r="P171" s="16" t="str"/>
    </x:row>
    <x:row r="172" ht="34" customHeight="1">
      <x:c r="A172" s="16" t="str">
        <x:v>M168</x:v>
      </x:c>
      <x:c r="B172" s="16" t="str">
        <x:v>data5-针阔-复配-纸张特性0110(1).xlsx</x:v>
      </x:c>
      <x:c r="C172" s="16" t="str">
        <x:v>0110</x:v>
      </x:c>
      <x:c r="D172" s="16" t="str">
        <x:v>Sheet1</x:v>
      </x:c>
      <x:c r="E172" s="22" t="n">
        <x:v>8</x:v>
      </x:c>
      <x:c r="F172" s="16" t="str">
        <x:v>表面粗糙度(ml/min)</x:v>
      </x:c>
      <x:c r="G172" s="16" t="str">
        <x:v>ml/min</x:v>
      </x:c>
      <x:c r="H172" s="16" t="str">
        <x:v>直接/条件</x:v>
      </x:c>
      <x:c r="I172" s="16" t="str">
        <x:v>paper_measurement</x:v>
      </x:c>
      <x:c r="J172" s="16" t="str">
        <x:v>surface_roughness</x:v>
      </x:c>
      <x:c r="K172" s="16" t="str">
        <x:v>中间9点插入；zk010和zk100仅与已有纯浆值核对</x:v>
      </x:c>
      <x:c r="L172" s="16" t="str">
        <x:v>空白、—或/转为NULL并记录质量告警</x:v>
      </x:c>
      <x:c r="M172" s="16" t="str">
        <x:v>数值且非负</x:v>
      </x:c>
      <x:c r="N172" s="16" t="str">
        <x:v>端点不覆盖已有测量记录</x:v>
      </x:c>
      <x:c r="O172" s="16" t="str">
        <x:v>是</x:v>
      </x:c>
      <x:c r="P172" s="16" t="str"/>
    </x:row>
    <x:row r="173" ht="34" customHeight="1">
      <x:c r="A173" s="16" t="str">
        <x:v>M169</x:v>
      </x:c>
      <x:c r="B173" s="16" t="str">
        <x:v>data5-针阔-复配-纸张特性0110(1).xlsx</x:v>
      </x:c>
      <x:c r="C173" s="16" t="str">
        <x:v>0110</x:v>
      </x:c>
      <x:c r="D173" s="16" t="str">
        <x:v>Sheet1</x:v>
      </x:c>
      <x:c r="E173" s="22" t="n">
        <x:v>9</x:v>
      </x:c>
      <x:c r="F173" s="16" t="str">
        <x:v>透气度</x:v>
      </x:c>
      <x:c r="G173" s="16" t="str">
        <x:v>源表未标注；设计暂定μm/(Pa·s)</x:v>
      </x:c>
      <x:c r="H173" s="16" t="str">
        <x:v>直接/条件</x:v>
      </x:c>
      <x:c r="I173" s="16" t="str">
        <x:v>paper_measurement</x:v>
      </x:c>
      <x:c r="J173" s="16" t="str">
        <x:v>air_permeability</x:v>
      </x:c>
      <x:c r="K173" s="16" t="str">
        <x:v>中间9点插入；zk010和zk100仅与已有纯浆值核对</x:v>
      </x:c>
      <x:c r="L173" s="16" t="str">
        <x:v>空白、—或/转为NULL并记录质量告警</x:v>
      </x:c>
      <x:c r="M173" s="16" t="str">
        <x:v>数值且非负</x:v>
      </x:c>
      <x:c r="N173" s="16" t="str">
        <x:v>端点不覆盖已有测量记录</x:v>
      </x:c>
      <x:c r="O173" s="16" t="str">
        <x:v>是</x:v>
      </x:c>
      <x:c r="P173" s="16" t="str">
        <x:v>单位状态见字段数据字典</x:v>
      </x:c>
    </x:row>
    <x:row r="174" ht="34" customHeight="1">
      <x:c r="A174" s="16" t="str">
        <x:v>M170</x:v>
      </x:c>
      <x:c r="B174" s="16" t="str">
        <x:v>data5-针阔-复配-纸张特性0110(1).xlsx</x:v>
      </x:c>
      <x:c r="C174" s="16" t="str">
        <x:v>0110</x:v>
      </x:c>
      <x:c r="D174" s="16" t="str">
        <x:v>Sheet1</x:v>
      </x:c>
      <x:c r="E174" s="22" t="n">
        <x:v>10</x:v>
      </x:c>
      <x:c r="F174" s="16" t="str">
        <x:v>耐折度</x:v>
      </x:c>
      <x:c r="G174" s="16" t="str">
        <x:v>待确认</x:v>
      </x:c>
      <x:c r="H174" s="16" t="str">
        <x:v>直接/条件</x:v>
      </x:c>
      <x:c r="I174" s="16" t="str">
        <x:v>paper_measurement</x:v>
      </x:c>
      <x:c r="J174" s="16" t="str">
        <x:v>folding_endurance_raw</x:v>
      </x:c>
      <x:c r="K174" s="16" t="str">
        <x:v>中间9点插入；zk010和zk100仅与已有纯浆值核对</x:v>
      </x:c>
      <x:c r="L174" s="16" t="str">
        <x:v>空白、—或/转为NULL并记录质量告警</x:v>
      </x:c>
      <x:c r="M174" s="16" t="str">
        <x:v>数值且非负</x:v>
      </x:c>
      <x:c r="N174" s="16" t="str">
        <x:v>端点不覆盖已有测量记录</x:v>
      </x:c>
      <x:c r="O174" s="16" t="str">
        <x:v>是</x:v>
      </x:c>
      <x:c r="P174" s="16" t="str">
        <x:v>单位状态见字段数据字典</x:v>
      </x:c>
    </x:row>
    <x:row r="175" ht="34" customHeight="1">
      <x:c r="A175" s="16" t="str">
        <x:v>M171</x:v>
      </x:c>
      <x:c r="B175" s="16" t="str">
        <x:v>data5-针阔-复配-纸张特性0110(1).xlsx</x:v>
      </x:c>
      <x:c r="C175" s="16" t="str">
        <x:v>0110</x:v>
      </x:c>
      <x:c r="D175" s="16" t="str">
        <x:v>Sheet1</x:v>
      </x:c>
      <x:c r="E175" s="22" t="n">
        <x:v>0</x:v>
      </x:c>
      <x:c r="F175" s="16" t="str">
        <x:v>〈实验规则〉</x:v>
      </x:c>
      <x:c r="G175" s="16" t="str">
        <x:v>次</x:v>
      </x:c>
      <x:c r="H175" s="16" t="str">
        <x:v>常量</x:v>
      </x:c>
      <x:c r="I175" s="16" t="str">
        <x:v>paper_measurement</x:v>
      </x:c>
      <x:c r="J175" s="16" t="str">
        <x:v>replicate_count</x:v>
      </x:c>
      <x:c r="K175" s="16" t="str">
        <x:v>固定写入3</x:v>
      </x:c>
      <x:c r="L175" s="16" t="str">
        <x:v>禁止为空</x:v>
      </x:c>
      <x:c r="M175" s="16" t="str">
        <x:v>等于3</x:v>
      </x:c>
      <x:c r="N175" s="16" t="str">
        <x:v>端点不覆盖已有记录</x:v>
      </x:c>
      <x:c r="O175" s="16" t="str">
        <x:v>是</x:v>
      </x:c>
      <x:c r="P175" s="16" t="str"/>
    </x:row>
    <x:row r="176" ht="34" customHeight="1">
      <x:c r="A176" s="16" t="str">
        <x:v>M172</x:v>
      </x:c>
      <x:c r="B176" s="16" t="str">
        <x:v>data5-针阔-复配-纸张特性0110(1).xlsx</x:v>
      </x:c>
      <x:c r="C176" s="16" t="str">
        <x:v>0110</x:v>
      </x:c>
      <x:c r="D176" s="16" t="str">
        <x:v>Sheet1</x:v>
      </x:c>
      <x:c r="E176" s="22" t="n">
        <x:v>0</x:v>
      </x:c>
      <x:c r="F176" s="16" t="str">
        <x:v>〈实验规则〉</x:v>
      </x:c>
      <x:c r="G176" s="16" t="str">
        <x:v>—</x:v>
      </x:c>
      <x:c r="H176" s="16" t="str">
        <x:v>常量</x:v>
      </x:c>
      <x:c r="I176" s="16" t="str">
        <x:v>paper_measurement</x:v>
      </x:c>
      <x:c r="J176" s="16" t="str">
        <x:v>aggregation_method</x:v>
      </x:c>
      <x:c r="K176" s="16" t="str">
        <x:v>固定写入“剔除偏差值后取最终均值”</x:v>
      </x:c>
      <x:c r="L176" s="16" t="str">
        <x:v>禁止为空</x:v>
      </x:c>
      <x:c r="M176" s="16" t="str">
        <x:v>非空</x:v>
      </x:c>
      <x:c r="N176" s="16" t="str">
        <x:v>源表数值按最终均值接收</x:v>
      </x:c>
      <x:c r="O176" s="16" t="str">
        <x:v>是</x:v>
      </x:c>
      <x:c r="P176" s="16" t="str"/>
    </x:row>
    <x:row r="177" ht="34" customHeight="1">
      <x:c r="A177" s="16" t="str">
        <x:v>M173</x:v>
      </x:c>
      <x:c r="B177" s="16" t="str">
        <x:v>data5-针阔-复配-纸张特性0110(1).xlsx</x:v>
      </x:c>
      <x:c r="C177" s="16" t="str">
        <x:v>0110</x:v>
      </x:c>
      <x:c r="D177" s="16" t="str">
        <x:v>Sheet1</x:v>
      </x:c>
      <x:c r="E177" s="22" t="n">
        <x:v>0</x:v>
      </x:c>
      <x:c r="F177" s="16" t="str">
        <x:v>〈当前来源行〉</x:v>
      </x:c>
      <x:c r="G177" s="16" t="str">
        <x:v>—</x:v>
      </x:c>
      <x:c r="H177" s="16" t="str">
        <x:v>关联</x:v>
      </x:c>
      <x:c r="I177" s="16" t="str">
        <x:v>paper_measurement</x:v>
      </x:c>
      <x:c r="J177" s="16" t="str">
        <x:v>source_id</x:v>
      </x:c>
      <x:c r="K177" s="16" t="str">
        <x:v>引用本行data_source.source_id</x:v>
      </x:c>
      <x:c r="L177" s="16" t="str">
        <x:v>禁止为空</x:v>
      </x:c>
      <x:c r="M177" s="16" t="str">
        <x:v>外键有效</x:v>
      </x:c>
      <x:c r="N177" s="16" t="str">
        <x:v>仅中间9点写入测量表</x:v>
      </x:c>
      <x:c r="O177" s="16" t="str">
        <x:v>是</x:v>
      </x:c>
      <x:c r="P177" s="16" t="str"/>
    </x:row>
    <x:row r="178" ht="34" customHeight="1">
      <x:c r="A178" s="16" t="str">
        <x:v>M174</x:v>
      </x:c>
      <x:c r="B178" s="16" t="str">
        <x:v>data4-针阔-复配-纤维特性(1).xlsx</x:v>
      </x:c>
      <x:c r="C178" s="16" t="str">
        <x:v>旧版</x:v>
      </x:c>
      <x:c r="D178" s="16" t="str">
        <x:v>—</x:v>
      </x:c>
      <x:c r="E178" s="22" t="n">
        <x:v>0</x:v>
      </x:c>
      <x:c r="F178" s="16" t="str">
        <x:v>〈全部内容〉</x:v>
      </x:c>
      <x:c r="G178" s="16" t="str">
        <x:v>—</x:v>
      </x:c>
      <x:c r="H178" s="16" t="str">
        <x:v>排除</x:v>
      </x:c>
      <x:c r="I178" s="16" t="str">
        <x:v>—</x:v>
      </x:c>
      <x:c r="J178" s="16" t="str">
        <x:v>—</x:v>
      </x:c>
      <x:c r="K178" s="16" t="str">
        <x:v>不读取、不移动、不进入正式库</x:v>
      </x:c>
      <x:c r="L178" s="16" t="str">
        <x:v>不适用</x:v>
      </x:c>
      <x:c r="M178" s="16" t="str">
        <x:v>文件名命中排除清单</x:v>
      </x:c>
      <x:c r="N178" s="16" t="str">
        <x:v>发现于导入批次时终止该批</x:v>
      </x:c>
      <x:c r="O178" s="16" t="str">
        <x:v>否</x:v>
      </x:c>
      <x:c r="P178" s="16" t="str">
        <x:v>复配仅使用0110版</x:v>
      </x:c>
    </x:row>
    <x:row r="179" ht="34" customHeight="1">
      <x:c r="A179" s="16" t="str">
        <x:v>M175</x:v>
      </x:c>
      <x:c r="B179" s="16" t="str">
        <x:v>data5-针阔-复配-纸张特性(1).xlsx</x:v>
      </x:c>
      <x:c r="C179" s="16" t="str">
        <x:v>旧版</x:v>
      </x:c>
      <x:c r="D179" s="16" t="str">
        <x:v>—</x:v>
      </x:c>
      <x:c r="E179" s="22" t="n">
        <x:v>0</x:v>
      </x:c>
      <x:c r="F179" s="16" t="str">
        <x:v>〈全部内容〉</x:v>
      </x:c>
      <x:c r="G179" s="16" t="str">
        <x:v>—</x:v>
      </x:c>
      <x:c r="H179" s="16" t="str">
        <x:v>排除</x:v>
      </x:c>
      <x:c r="I179" s="16" t="str">
        <x:v>—</x:v>
      </x:c>
      <x:c r="J179" s="16" t="str">
        <x:v>—</x:v>
      </x:c>
      <x:c r="K179" s="16" t="str">
        <x:v>不读取、不移动、不进入正式库</x:v>
      </x:c>
      <x:c r="L179" s="16" t="str">
        <x:v>不适用</x:v>
      </x:c>
      <x:c r="M179" s="16" t="str">
        <x:v>文件名命中排除清单</x:v>
      </x:c>
      <x:c r="N179" s="16" t="str">
        <x:v>发现于导入批次时终止该批</x:v>
      </x:c>
      <x:c r="O179" s="16" t="str">
        <x:v>否</x:v>
      </x:c>
      <x:c r="P179" s="16" t="str">
        <x:v>复配仅使用0110版</x:v>
      </x:c>
    </x:row>
    <x:row r="180" ht="34" customHeight="1">
      <x:c r="A180" s="16" t="str">
        <x:v>M176</x:v>
      </x:c>
      <x:c r="B180" s="16" t="str">
        <x:v>数据汇总(1).xlsx</x:v>
      </x:c>
      <x:c r="C180" s="16" t="str">
        <x:v>正式汇总版</x:v>
      </x:c>
      <x:c r="D180" s="16" t="str">
        <x:v>Sheet1</x:v>
      </x:c>
      <x:c r="E180" s="22" t="n">
        <x:v>0</x:v>
      </x:c>
      <x:c r="F180" s="16" t="str">
        <x:v>〈文件名〉</x:v>
      </x:c>
      <x:c r="G180" s="16" t="str">
        <x:v>—</x:v>
      </x:c>
      <x:c r="H180" s="16" t="str">
        <x:v>来源元数据</x:v>
      </x:c>
      <x:c r="I180" s="16" t="str">
        <x:v>recycled_dataset</x:v>
      </x:c>
      <x:c r="J180" s="16" t="str">
        <x:v>file_name</x:v>
      </x:c>
      <x:c r="K180" s="16" t="str">
        <x:v>写入数据汇总(1).xlsx</x:v>
      </x:c>
      <x:c r="L180" s="16" t="str">
        <x:v>禁止为空</x:v>
      </x:c>
      <x:c r="M180" s="16" t="str">
        <x:v>文件名与白名单一致</x:v>
      </x:c>
      <x:c r="N180" s="16" t="str">
        <x:v>目标扩展表非空时拒绝重复导入</x:v>
      </x:c>
      <x:c r="O180" s="29" t="str">
        <x:v>是</x:v>
      </x:c>
      <x:c r="P180" s="16"/>
    </x:row>
    <x:row r="181">
      <x:c r="A181" t="str">
        <x:v>M177</x:v>
      </x:c>
      <x:c r="B181" t="str">
        <x:v>数据汇总(1).xlsx</x:v>
      </x:c>
      <x:c r="C181" t="str">
        <x:v>正式汇总版</x:v>
      </x:c>
      <x:c r="D181" t="str">
        <x:v>Sheet1</x:v>
      </x:c>
      <x:c r="E181" t="n">
        <x:v>0</x:v>
      </x:c>
      <x:c r="F181" t="str">
        <x:v>〈工作表名〉</x:v>
      </x:c>
      <x:c r="G181" t="str">
        <x:v>—</x:v>
      </x:c>
      <x:c r="H181" t="str">
        <x:v>来源元数据</x:v>
      </x:c>
      <x:c r="I181" t="str">
        <x:v>recycled_dataset</x:v>
      </x:c>
      <x:c r="J181" t="str">
        <x:v>sheet_name</x:v>
      </x:c>
      <x:c r="K181" t="str">
        <x:v>固定写入Sheet1</x:v>
      </x:c>
      <x:c r="L181" t="str">
        <x:v>禁止为空</x:v>
      </x:c>
      <x:c r="M181" t="str">
        <x:v>只允许Sheet1</x:v>
      </x:c>
      <x:c r="N181" t="str">
        <x:v>其他工作表不处理</x:v>
      </x:c>
      <x:c r="O181" s="30" t="str">
        <x:v>是</x:v>
      </x:c>
      <x:c r="P181"/>
    </x:row>
    <x:row r="182">
      <x:c r="A182" t="str">
        <x:v>M178</x:v>
      </x:c>
      <x:c r="B182" t="str">
        <x:v>数据汇总(1).xlsx</x:v>
      </x:c>
      <x:c r="C182" t="str">
        <x:v>正式汇总版</x:v>
      </x:c>
      <x:c r="D182" t="str">
        <x:v>Sheet1</x:v>
      </x:c>
      <x:c r="E182" t="n">
        <x:v>0</x:v>
      </x:c>
      <x:c r="F182" t="str">
        <x:v>〈来源版本〉</x:v>
      </x:c>
      <x:c r="G182" t="str">
        <x:v>—</x:v>
      </x:c>
      <x:c r="H182" t="str">
        <x:v>常量</x:v>
      </x:c>
      <x:c r="I182" t="str">
        <x:v>recycled_dataset</x:v>
      </x:c>
      <x:c r="J182" t="str">
        <x:v>source_version</x:v>
      </x:c>
      <x:c r="K182" t="str">
        <x:v>固定写入正式汇总版</x:v>
      </x:c>
      <x:c r="L182" t="str">
        <x:v>禁止为空</x:v>
      </x:c>
      <x:c r="M182" t="str">
        <x:v>版本名称一致</x:v>
      </x:c>
      <x:c r="N182" t="str">
        <x:v>不同版本需重新确认文件散列</x:v>
      </x:c>
      <x:c r="O182" s="30" t="str">
        <x:v>是</x:v>
      </x:c>
      <x:c r="P182"/>
    </x:row>
    <x:row r="183">
      <x:c r="A183" t="str">
        <x:v>M179</x:v>
      </x:c>
      <x:c r="B183" t="str">
        <x:v>数据汇总(1).xlsx</x:v>
      </x:c>
      <x:c r="C183" t="str">
        <x:v>正式汇总版</x:v>
      </x:c>
      <x:c r="D183" t="str">
        <x:v>Sheet1</x:v>
      </x:c>
      <x:c r="E183" t="n">
        <x:v>0</x:v>
      </x:c>
      <x:c r="F183" t="str">
        <x:v>〈文件内容〉</x:v>
      </x:c>
      <x:c r="G183" t="str">
        <x:v>—</x:v>
      </x:c>
      <x:c r="H183" t="str">
        <x:v>文件散列</x:v>
      </x:c>
      <x:c r="I183" t="str">
        <x:v>recycled_dataset</x:v>
      </x:c>
      <x:c r="J183" t="str">
        <x:v>file_sha256</x:v>
      </x:c>
      <x:c r="K183" t="str">
        <x:v>计算整份工作簿SHA-256</x:v>
      </x:c>
      <x:c r="L183" t="str">
        <x:v>禁止为空</x:v>
      </x:c>
      <x:c r="M183" t="str">
        <x:v>等于已确认散列</x:v>
      </x:c>
      <x:c r="N183" t="str">
        <x:v>散列不一致时终止该批</x:v>
      </x:c>
      <x:c r="O183" s="30" t="str">
        <x:v>是</x:v>
      </x:c>
      <x:c r="P183"/>
    </x:row>
    <x:row r="184">
      <x:c r="A184" t="str">
        <x:v>M180</x:v>
      </x:c>
      <x:c r="B184" t="str">
        <x:v>数据汇总(1).xlsx</x:v>
      </x:c>
      <x:c r="C184" t="str">
        <x:v>正式汇总版</x:v>
      </x:c>
      <x:c r="D184" t="str">
        <x:v>Sheet1</x:v>
      </x:c>
      <x:c r="E184" t="n">
        <x:v>0</x:v>
      </x:c>
      <x:c r="F184" t="str">
        <x:v>〈数据集规则〉</x:v>
      </x:c>
      <x:c r="G184" t="str">
        <x:v>—</x:v>
      </x:c>
      <x:c r="H184" t="str">
        <x:v>常量</x:v>
      </x:c>
      <x:c r="I184" t="str">
        <x:v>recycled_dataset</x:v>
      </x:c>
      <x:c r="J184" t="str">
        <x:v>dataset_code</x:v>
      </x:c>
      <x:c r="K184" t="str">
        <x:v>固定写入RECYCLED_SUMMARY_2025</x:v>
      </x:c>
      <x:c r="L184" t="str">
        <x:v>禁止为空</x:v>
      </x:c>
      <x:c r="M184" t="str">
        <x:v>全库唯一</x:v>
      </x:c>
      <x:c r="N184" t="str">
        <x:v>已有代码时拒绝重复导入</x:v>
      </x:c>
      <x:c r="O184" s="30" t="str">
        <x:v>是</x:v>
      </x:c>
      <x:c r="P184"/>
    </x:row>
    <x:row r="185">
      <x:c r="A185" t="str">
        <x:v>M181</x:v>
      </x:c>
      <x:c r="B185" t="str">
        <x:v>数据汇总(1).xlsx</x:v>
      </x:c>
      <x:c r="C185" t="str">
        <x:v>正式汇总版</x:v>
      </x:c>
      <x:c r="D185" t="str">
        <x:v>Sheet1</x:v>
      </x:c>
      <x:c r="E185" t="n">
        <x:v>0</x:v>
      </x:c>
      <x:c r="F185" t="str">
        <x:v>〈研究规则〉</x:v>
      </x:c>
      <x:c r="G185" t="str">
        <x:v>—</x:v>
      </x:c>
      <x:c r="H185" t="str">
        <x:v>常量</x:v>
      </x:c>
      <x:c r="I185" t="str">
        <x:v>recycled_dataset</x:v>
      </x:c>
      <x:c r="J185" t="str">
        <x:v>study_name</x:v>
      </x:c>
      <x:c r="K185" t="str">
        <x:v>固定写入再生纸浆循环回用实验</x:v>
      </x:c>
      <x:c r="L185" t="str">
        <x:v>禁止为空</x:v>
      </x:c>
      <x:c r="M185" t="str">
        <x:v>非空</x:v>
      </x:c>
      <x:c r="N185" t="str">
        <x:v>已有数据集时拒绝覆盖</x:v>
      </x:c>
      <x:c r="O185" s="30" t="str">
        <x:v>是</x:v>
      </x:c>
      <x:c r="P185"/>
    </x:row>
    <x:row r="186">
      <x:c r="A186" t="str">
        <x:v>M182</x:v>
      </x:c>
      <x:c r="B186" t="str">
        <x:v>数据汇总(1).xlsx</x:v>
      </x:c>
      <x:c r="C186" t="str">
        <x:v>正式汇总版</x:v>
      </x:c>
      <x:c r="D186" t="str">
        <x:v>Sheet1</x:v>
      </x:c>
      <x:c r="E186" t="n">
        <x:v>0</x:v>
      </x:c>
      <x:c r="F186" t="str">
        <x:v>〈工作簿核心属性〉</x:v>
      </x:c>
      <x:c r="G186" t="str">
        <x:v>—</x:v>
      </x:c>
      <x:c r="H186" t="str">
        <x:v>来源元数据</x:v>
      </x:c>
      <x:c r="I186" t="str">
        <x:v>recycled_dataset</x:v>
      </x:c>
      <x:c r="J186" t="str">
        <x:v>workbook_creator</x:v>
      </x:c>
      <x:c r="K186" t="str">
        <x:v>读取dc:creator</x:v>
      </x:c>
      <x:c r="L186" t="str">
        <x:v>缺失时写NULL</x:v>
      </x:c>
      <x:c r="M186" t="str">
        <x:v>文本或NULL</x:v>
      </x:c>
      <x:c r="N186" t="str">
        <x:v>不据此判定数据内容</x:v>
      </x:c>
      <x:c r="O186" s="30" t="str">
        <x:v>是</x:v>
      </x:c>
      <x:c r="P186"/>
    </x:row>
    <x:row r="187">
      <x:c r="A187" t="str">
        <x:v>M183</x:v>
      </x:c>
      <x:c r="B187" t="str">
        <x:v>数据汇总(1).xlsx</x:v>
      </x:c>
      <x:c r="C187" t="str">
        <x:v>正式汇总版</x:v>
      </x:c>
      <x:c r="D187" t="str">
        <x:v>Sheet1</x:v>
      </x:c>
      <x:c r="E187" t="n">
        <x:v>0</x:v>
      </x:c>
      <x:c r="F187" t="str">
        <x:v>〈工作簿核心属性〉</x:v>
      </x:c>
      <x:c r="G187" t="str">
        <x:v>—</x:v>
      </x:c>
      <x:c r="H187" t="str">
        <x:v>来源元数据</x:v>
      </x:c>
      <x:c r="I187" t="str">
        <x:v>recycled_dataset</x:v>
      </x:c>
      <x:c r="J187" t="str">
        <x:v>workbook_last_modified_by</x:v>
      </x:c>
      <x:c r="K187" t="str">
        <x:v>读取cp:lastModifiedBy</x:v>
      </x:c>
      <x:c r="L187" t="str">
        <x:v>缺失时写NULL</x:v>
      </x:c>
      <x:c r="M187" t="str">
        <x:v>文本或NULL</x:v>
      </x:c>
      <x:c r="N187" t="str">
        <x:v>不据此判定数据内容</x:v>
      </x:c>
      <x:c r="O187" s="30" t="str">
        <x:v>是</x:v>
      </x:c>
      <x:c r="P187"/>
    </x:row>
    <x:row r="188">
      <x:c r="A188" t="str">
        <x:v>M184</x:v>
      </x:c>
      <x:c r="B188" t="str">
        <x:v>数据汇总(1).xlsx</x:v>
      </x:c>
      <x:c r="C188" t="str">
        <x:v>正式汇总版</x:v>
      </x:c>
      <x:c r="D188" t="str">
        <x:v>Sheet1</x:v>
      </x:c>
      <x:c r="E188" t="n">
        <x:v>0</x:v>
      </x:c>
      <x:c r="F188" t="str">
        <x:v>〈数据集说明〉</x:v>
      </x:c>
      <x:c r="G188" t="str">
        <x:v>—</x:v>
      </x:c>
      <x:c r="H188" t="str">
        <x:v>派生</x:v>
      </x:c>
      <x:c r="I188" t="str">
        <x:v>recycled_dataset</x:v>
      </x:c>
      <x:c r="J188" t="str">
        <x:v>notes</x:v>
      </x:c>
      <x:c r="K188" t="str">
        <x:v>记录条件未知、稳定编号和原值保留原则</x:v>
      </x:c>
      <x:c r="L188" t="str">
        <x:v>允许NULL</x:v>
      </x:c>
      <x:c r="M188" t="str">
        <x:v>文本</x:v>
      </x:c>
      <x:c r="N188" t="str">
        <x:v>不写入推测性条件</x:v>
      </x:c>
      <x:c r="O188" s="30" t="str">
        <x:v>是</x:v>
      </x:c>
      <x:c r="P188"/>
    </x:row>
    <x:row r="189">
      <x:c r="A189" t="str">
        <x:v>M185</x:v>
      </x:c>
      <x:c r="B189" t="str">
        <x:v>数据汇总(1).xlsx</x:v>
      </x:c>
      <x:c r="C189" t="str">
        <x:v>正式汇总版</x:v>
      </x:c>
      <x:c r="D189" t="str">
        <x:v>Sheet1</x:v>
      </x:c>
      <x:c r="E189" t="n">
        <x:v>0</x:v>
      </x:c>
      <x:c r="F189" t="str">
        <x:v>〈数据集关联〉</x:v>
      </x:c>
      <x:c r="G189" t="str">
        <x:v>—</x:v>
      </x:c>
      <x:c r="H189" t="str">
        <x:v>关联</x:v>
      </x:c>
      <x:c r="I189" t="str">
        <x:v>recycled_data_block</x:v>
      </x:c>
      <x:c r="J189" t="str">
        <x:v>dataset_id</x:v>
      </x:c>
      <x:c r="K189" t="str">
        <x:v>按dataset_code引用recycled_dataset</x:v>
      </x:c>
      <x:c r="L189" t="str">
        <x:v>禁止为空</x:v>
      </x:c>
      <x:c r="M189" t="str">
        <x:v>外键有效</x:v>
      </x:c>
      <x:c r="N189" t="str">
        <x:v>必须唯一命中</x:v>
      </x:c>
      <x:c r="O189" s="30" t="str">
        <x:v>是</x:v>
      </x:c>
      <x:c r="P189"/>
    </x:row>
    <x:row r="190">
      <x:c r="A190" t="str">
        <x:v>M186</x:v>
      </x:c>
      <x:c r="B190" t="str">
        <x:v>数据汇总(1).xlsx</x:v>
      </x:c>
      <x:c r="C190" t="str">
        <x:v>正式汇总版</x:v>
      </x:c>
      <x:c r="D190" t="str">
        <x:v>Sheet1</x:v>
      </x:c>
      <x:c r="E190" t="n">
        <x:v>0</x:v>
      </x:c>
      <x:c r="F190" t="str">
        <x:v>〈连续数据块〉</x:v>
      </x:c>
      <x:c r="G190" t="str">
        <x:v>—</x:v>
      </x:c>
      <x:c r="H190" t="str">
        <x:v>系统生成</x:v>
      </x:c>
      <x:c r="I190" t="str">
        <x:v>recycled_data_block</x:v>
      </x:c>
      <x:c r="J190" t="str">
        <x:v>block_code</x:v>
      </x:c>
      <x:c r="K190" t="str">
        <x:v>按源表连续区域生成G01-G14</x:v>
      </x:c>
      <x:c r="L190" t="str">
        <x:v>禁止为空</x:v>
      </x:c>
      <x:c r="M190" t="str">
        <x:v>数据集内唯一</x:v>
      </x:c>
      <x:c r="N190" t="str">
        <x:v>不根据数值命名处理条件</x:v>
      </x:c>
      <x:c r="O190" s="30" t="str">
        <x:v>是</x:v>
      </x:c>
      <x:c r="P190"/>
    </x:row>
    <x:row r="191">
      <x:c r="A191" t="str">
        <x:v>M187</x:v>
      </x:c>
      <x:c r="B191" t="str">
        <x:v>数据汇总(1).xlsx</x:v>
      </x:c>
      <x:c r="C191" t="str">
        <x:v>正式汇总版</x:v>
      </x:c>
      <x:c r="D191" t="str">
        <x:v>Sheet1</x:v>
      </x:c>
      <x:c r="E191" t="n">
        <x:v>0</x:v>
      </x:c>
      <x:c r="F191" t="str">
        <x:v>〈连续数据块〉</x:v>
      </x:c>
      <x:c r="G191" t="str">
        <x:v>—</x:v>
      </x:c>
      <x:c r="H191" t="str">
        <x:v>系统生成</x:v>
      </x:c>
      <x:c r="I191" t="str">
        <x:v>recycled_data_block</x:v>
      </x:c>
      <x:c r="J191" t="str">
        <x:v>block_name</x:v>
      </x:c>
      <x:c r="K191" t="str">
        <x:v>按顺序生成数据块01-14</x:v>
      </x:c>
      <x:c r="L191" t="str">
        <x:v>禁止为空</x:v>
      </x:c>
      <x:c r="M191" t="str">
        <x:v>格式符合数据块NN</x:v>
      </x:c>
      <x:c r="N191" t="str">
        <x:v>不替代正式实验名称</x:v>
      </x:c>
      <x:c r="O191" s="30" t="str">
        <x:v>是</x:v>
      </x:c>
      <x:c r="P191"/>
    </x:row>
    <x:row r="192">
      <x:c r="A192" t="str">
        <x:v>M188</x:v>
      </x:c>
      <x:c r="B192" t="str">
        <x:v>数据汇总(1).xlsx</x:v>
      </x:c>
      <x:c r="C192" t="str">
        <x:v>正式汇总版</x:v>
      </x:c>
      <x:c r="D192" t="str">
        <x:v>Sheet1</x:v>
      </x:c>
      <x:c r="E192" t="n">
        <x:v>0</x:v>
      </x:c>
      <x:c r="F192" t="str">
        <x:v>〈源表顺序〉</x:v>
      </x:c>
      <x:c r="G192" t="str">
        <x:v>—</x:v>
      </x:c>
      <x:c r="H192" t="str">
        <x:v>系统生成</x:v>
      </x:c>
      <x:c r="I192" t="str">
        <x:v>recycled_data_block</x:v>
      </x:c>
      <x:c r="J192" t="str">
        <x:v>block_order</x:v>
      </x:c>
      <x:c r="K192" t="str">
        <x:v>按G01-G14写入1-14</x:v>
      </x:c>
      <x:c r="L192" t="str">
        <x:v>禁止为空</x:v>
      </x:c>
      <x:c r="M192" t="str">
        <x:v>&gt;0且数据集内唯一</x:v>
      </x:c>
      <x:c r="N192" t="str">
        <x:v>顺序异常时终止导入</x:v>
      </x:c>
      <x:c r="O192" s="30" t="str">
        <x:v>是</x:v>
      </x:c>
      <x:c r="P192"/>
    </x:row>
    <x:row r="193">
      <x:c r="A193" t="str">
        <x:v>M189</x:v>
      </x:c>
      <x:c r="B193" t="str">
        <x:v>数据汇总(1).xlsx</x:v>
      </x:c>
      <x:c r="C193" t="str">
        <x:v>正式汇总版</x:v>
      </x:c>
      <x:c r="D193" t="str">
        <x:v>Sheet1</x:v>
      </x:c>
      <x:c r="E193" t="n">
        <x:v>0</x:v>
      </x:c>
      <x:c r="F193" t="str">
        <x:v>〈源表分段〉</x:v>
      </x:c>
      <x:c r="G193" t="str">
        <x:v>—</x:v>
      </x:c>
      <x:c r="H193" t="str">
        <x:v>派生</x:v>
      </x:c>
      <x:c r="I193" t="str">
        <x:v>recycled_data_block</x:v>
      </x:c>
      <x:c r="J193" t="str">
        <x:v>section_no</x:v>
      </x:c>
      <x:c r="K193" t="str">
        <x:v>按源表空行和说明区分段</x:v>
      </x:c>
      <x:c r="L193" t="str">
        <x:v>禁止为空</x:v>
      </x:c>
      <x:c r="M193" t="str">
        <x:v>&gt;0</x:v>
      </x:c>
      <x:c r="N193" t="str">
        <x:v>分段边界异常时终止导入</x:v>
      </x:c>
      <x:c r="O193" s="30" t="str">
        <x:v>是</x:v>
      </x:c>
      <x:c r="P193"/>
    </x:row>
    <x:row r="194">
      <x:c r="A194" t="str">
        <x:v>M190</x:v>
      </x:c>
      <x:c r="B194" t="str">
        <x:v>数据汇总(1).xlsx</x:v>
      </x:c>
      <x:c r="C194" t="str">
        <x:v>正式汇总版</x:v>
      </x:c>
      <x:c r="D194" t="str">
        <x:v>Sheet1</x:v>
      </x:c>
      <x:c r="E194" t="n">
        <x:v>0</x:v>
      </x:c>
      <x:c r="F194" t="str">
        <x:v>〈贡献者说明〉</x:v>
      </x:c>
      <x:c r="G194" t="str">
        <x:v>—</x:v>
      </x:c>
      <x:c r="H194" t="str">
        <x:v>派生</x:v>
      </x:c>
      <x:c r="I194" t="str">
        <x:v>recycled_data_block</x:v>
      </x:c>
      <x:c r="J194" t="str">
        <x:v>contributor_name</x:v>
      </x:c>
      <x:c r="K194" t="str">
        <x:v>来源能够确认时写入陈莉</x:v>
      </x:c>
      <x:c r="L194" t="str">
        <x:v>未知写NULL</x:v>
      </x:c>
      <x:c r="M194" t="str">
        <x:v>文本或NULL</x:v>
      </x:c>
      <x:c r="N194" t="str">
        <x:v>不推测贡献者</x:v>
      </x:c>
      <x:c r="O194" s="30" t="str">
        <x:v>是</x:v>
      </x:c>
      <x:c r="P194"/>
    </x:row>
    <x:row r="195">
      <x:c r="A195" t="str">
        <x:v>M191</x:v>
      </x:c>
      <x:c r="B195" t="str">
        <x:v>数据汇总(1).xlsx</x:v>
      </x:c>
      <x:c r="C195" t="str">
        <x:v>正式汇总版</x:v>
      </x:c>
      <x:c r="D195" t="str">
        <x:v>Sheet1</x:v>
      </x:c>
      <x:c r="E195" t="n">
        <x:v>0</x:v>
      </x:c>
      <x:c r="F195" t="str">
        <x:v>〈批注与填色〉</x:v>
      </x:c>
      <x:c r="G195" t="str">
        <x:v>—</x:v>
      </x:c>
      <x:c r="H195" t="str">
        <x:v>派生</x:v>
      </x:c>
      <x:c r="I195" t="str">
        <x:v>recycled_data_block</x:v>
      </x:c>
      <x:c r="J195" t="str">
        <x:v>raw_material_grade</x:v>
      </x:c>
      <x:c r="K195" t="str">
        <x:v>结合项目说明、批注和黄色填充判定美废12#或美废13#</x:v>
      </x:c>
      <x:c r="L195" t="str">
        <x:v>未知写NULL</x:v>
      </x:c>
      <x:c r="M195" t="str">
        <x:v>仅允许美废12#、美废13#或NULL</x:v>
      </x:c>
      <x:c r="N195" t="str">
        <x:v>证据不足时不赋值</x:v>
      </x:c>
      <x:c r="O195" s="30" t="str">
        <x:v>是</x:v>
      </x:c>
      <x:c r="P195"/>
    </x:row>
    <x:row r="196">
      <x:c r="A196" t="str">
        <x:v>M192</x:v>
      </x:c>
      <x:c r="B196" t="str">
        <x:v>数据汇总(1).xlsx</x:v>
      </x:c>
      <x:c r="C196" t="str">
        <x:v>正式汇总版</x:v>
      </x:c>
      <x:c r="D196" t="str">
        <x:v>Sheet1</x:v>
      </x:c>
      <x:c r="E196" t="n">
        <x:v>0</x:v>
      </x:c>
      <x:c r="F196" t="str">
        <x:v>〈判定证据〉</x:v>
      </x:c>
      <x:c r="G196" t="str">
        <x:v>—</x:v>
      </x:c>
      <x:c r="H196" t="str">
        <x:v>派生</x:v>
      </x:c>
      <x:c r="I196" t="str">
        <x:v>recycled_data_block</x:v>
      </x:c>
      <x:c r="J196" t="str">
        <x:v>material_assignment_basis</x:v>
      </x:c>
      <x:c r="K196" t="str">
        <x:v>写入原料牌号判定依据</x:v>
      </x:c>
      <x:c r="L196" t="str">
        <x:v>允许NULL</x:v>
      </x:c>
      <x:c r="M196" t="str">
        <x:v>文本</x:v>
      </x:c>
      <x:c r="N196" t="str">
        <x:v>与raw_material_grade同步复核</x:v>
      </x:c>
      <x:c r="O196" s="30" t="str">
        <x:v>是</x:v>
      </x:c>
      <x:c r="P196"/>
    </x:row>
    <x:row r="197">
      <x:c r="A197" t="str">
        <x:v>M193</x:v>
      </x:c>
      <x:c r="B197" t="str">
        <x:v>数据汇总(1).xlsx</x:v>
      </x:c>
      <x:c r="C197" t="str">
        <x:v>正式汇总版</x:v>
      </x:c>
      <x:c r="D197" t="str">
        <x:v>Sheet1</x:v>
      </x:c>
      <x:c r="E197" t="n">
        <x:v>0</x:v>
      </x:c>
      <x:c r="F197" t="str">
        <x:v>〈正式实验条件〉</x:v>
      </x:c>
      <x:c r="G197" t="str">
        <x:v>—</x:v>
      </x:c>
      <x:c r="H197" t="str">
        <x:v>缺失保留</x:v>
      </x:c>
      <x:c r="I197" t="str">
        <x:v>recycled_data_block</x:v>
      </x:c>
      <x:c r="J197" t="str">
        <x:v>condition_label</x:v>
      </x:c>
      <x:c r="K197" t="str">
        <x:v>当前统一写NULL</x:v>
      </x:c>
      <x:c r="L197" t="str">
        <x:v>写NULL</x:v>
      </x:c>
      <x:c r="M197" t="str">
        <x:v>metadata_status=unknown时必须为NULL</x:v>
      </x:c>
      <x:c r="N197" t="str">
        <x:v>获得可靠实验记录后再更新</x:v>
      </x:c>
      <x:c r="O197" s="30" t="str">
        <x:v>是</x:v>
      </x:c>
      <x:c r="P197"/>
    </x:row>
    <x:row r="198">
      <x:c r="A198" t="str">
        <x:v>M194</x:v>
      </x:c>
      <x:c r="B198" t="str">
        <x:v>数据汇总(1).xlsx</x:v>
      </x:c>
      <x:c r="C198" t="str">
        <x:v>正式汇总版</x:v>
      </x:c>
      <x:c r="D198" t="str">
        <x:v>Sheet1</x:v>
      </x:c>
      <x:c r="E198" t="n">
        <x:v>0</x:v>
      </x:c>
      <x:c r="F198" t="str">
        <x:v>〈元数据状态〉</x:v>
      </x:c>
      <x:c r="G198" t="str">
        <x:v>—</x:v>
      </x:c>
      <x:c r="H198" t="str">
        <x:v>常量</x:v>
      </x:c>
      <x:c r="I198" t="str">
        <x:v>recycled_data_block</x:v>
      </x:c>
      <x:c r="J198" t="str">
        <x:v>metadata_status</x:v>
      </x:c>
      <x:c r="K198" t="str">
        <x:v>当前统一写unknown</x:v>
      </x:c>
      <x:c r="L198" t="str">
        <x:v>禁止为空</x:v>
      </x:c>
      <x:c r="M198" t="str">
        <x:v>known或unknown</x:v>
      </x:c>
      <x:c r="N198" t="str">
        <x:v>不得因数值相似改为known</x:v>
      </x:c>
      <x:c r="O198" s="30" t="str">
        <x:v>是</x:v>
      </x:c>
      <x:c r="P198"/>
    </x:row>
    <x:row r="199">
      <x:c r="A199" t="str">
        <x:v>M195</x:v>
      </x:c>
      <x:c r="B199" t="str">
        <x:v>数据汇总(1).xlsx</x:v>
      </x:c>
      <x:c r="C199" t="str">
        <x:v>正式汇总版</x:v>
      </x:c>
      <x:c r="D199" t="str">
        <x:v>Sheet1</x:v>
      </x:c>
      <x:c r="E199" t="n">
        <x:v>1</x:v>
      </x:c>
      <x:c r="F199" t="str">
        <x:v>循环次数</x:v>
      </x:c>
      <x:c r="G199" t="str">
        <x:v>次</x:v>
      </x:c>
      <x:c r="H199" t="str">
        <x:v>派生统计</x:v>
      </x:c>
      <x:c r="I199" t="str">
        <x:v>recycled_data_block</x:v>
      </x:c>
      <x:c r="J199" t="str">
        <x:v>cycle_count</x:v>
      </x:c>
      <x:c r="K199" t="str">
        <x:v>统计每个数据块的循环档数</x:v>
      </x:c>
      <x:c r="L199" t="str">
        <x:v>禁止为空</x:v>
      </x:c>
      <x:c r="M199" t="str">
        <x:v>&gt;0</x:v>
      </x:c>
      <x:c r="N199" t="str">
        <x:v>与观测记录复核</x:v>
      </x:c>
      <x:c r="O199" s="30" t="str">
        <x:v>是</x:v>
      </x:c>
      <x:c r="P199"/>
    </x:row>
    <x:row r="200">
      <x:c r="A200" t="str">
        <x:v>M196</x:v>
      </x:c>
      <x:c r="B200" t="str">
        <x:v>数据汇总(1).xlsx</x:v>
      </x:c>
      <x:c r="C200" t="str">
        <x:v>正式汇总版</x:v>
      </x:c>
      <x:c r="D200" t="str">
        <x:v>Sheet1</x:v>
      </x:c>
      <x:c r="E200" t="n">
        <x:v>0</x:v>
      </x:c>
      <x:c r="F200" t="str">
        <x:v>〈重复结构〉</x:v>
      </x:c>
      <x:c r="G200" t="str">
        <x:v>次</x:v>
      </x:c>
      <x:c r="H200" t="str">
        <x:v>派生统计</x:v>
      </x:c>
      <x:c r="I200" t="str">
        <x:v>recycled_data_block</x:v>
      </x:c>
      <x:c r="J200" t="str">
        <x:v>expected_replicates_per_cycle</x:v>
      </x:c>
      <x:c r="K200" t="str">
        <x:v>按数据块结构确定每循环预期重复数</x:v>
      </x:c>
      <x:c r="L200" t="str">
        <x:v>禁止为空</x:v>
      </x:c>
      <x:c r="M200" t="str">
        <x:v>&gt;0</x:v>
      </x:c>
      <x:c r="N200" t="str">
        <x:v>观测数不匹配时终止导入</x:v>
      </x:c>
      <x:c r="O200" s="30" t="str">
        <x:v>是</x:v>
      </x:c>
      <x:c r="P200"/>
    </x:row>
    <x:row r="201">
      <x:c r="A201" t="str">
        <x:v>M197</x:v>
      </x:c>
      <x:c r="B201" t="str">
        <x:v>数据汇总(1).xlsx</x:v>
      </x:c>
      <x:c r="C201" t="str">
        <x:v>正式汇总版</x:v>
      </x:c>
      <x:c r="D201" t="str">
        <x:v>Sheet1</x:v>
      </x:c>
      <x:c r="E201" t="n">
        <x:v>0</x:v>
      </x:c>
      <x:c r="F201" t="str">
        <x:v>〈数据块首行〉</x:v>
      </x:c>
      <x:c r="G201" t="str">
        <x:v>行</x:v>
      </x:c>
      <x:c r="H201" t="str">
        <x:v>系统生成</x:v>
      </x:c>
      <x:c r="I201" t="str">
        <x:v>recycled_data_block</x:v>
      </x:c>
      <x:c r="J201" t="str">
        <x:v>source_start_row</x:v>
      </x:c>
      <x:c r="K201" t="str">
        <x:v>写入数据块第一条Excel行号</x:v>
      </x:c>
      <x:c r="L201" t="str">
        <x:v>禁止为空</x:v>
      </x:c>
      <x:c r="M201" t="str">
        <x:v>&gt;=2</x:v>
      </x:c>
      <x:c r="N201" t="str">
        <x:v>与block_code一一对应</x:v>
      </x:c>
      <x:c r="O201" s="30" t="str">
        <x:v>是</x:v>
      </x:c>
      <x:c r="P201"/>
    </x:row>
    <x:row r="202">
      <x:c r="A202" t="str">
        <x:v>M198</x:v>
      </x:c>
      <x:c r="B202" t="str">
        <x:v>数据汇总(1).xlsx</x:v>
      </x:c>
      <x:c r="C202" t="str">
        <x:v>正式汇总版</x:v>
      </x:c>
      <x:c r="D202" t="str">
        <x:v>Sheet1</x:v>
      </x:c>
      <x:c r="E202" t="n">
        <x:v>0</x:v>
      </x:c>
      <x:c r="F202" t="str">
        <x:v>〈数据块末行〉</x:v>
      </x:c>
      <x:c r="G202" t="str">
        <x:v>行</x:v>
      </x:c>
      <x:c r="H202" t="str">
        <x:v>系统生成</x:v>
      </x:c>
      <x:c r="I202" t="str">
        <x:v>recycled_data_block</x:v>
      </x:c>
      <x:c r="J202" t="str">
        <x:v>source_end_row</x:v>
      </x:c>
      <x:c r="K202" t="str">
        <x:v>写入数据块最后一条Excel行号</x:v>
      </x:c>
      <x:c r="L202" t="str">
        <x:v>禁止为空</x:v>
      </x:c>
      <x:c r="M202" t="str">
        <x:v>&gt;=source_start_row</x:v>
      </x:c>
      <x:c r="N202" t="str">
        <x:v>与block_code一一对应</x:v>
      </x:c>
      <x:c r="O202" s="30" t="str">
        <x:v>是</x:v>
      </x:c>
      <x:c r="P202"/>
    </x:row>
    <x:row r="203">
      <x:c r="A203" t="str">
        <x:v>M199</x:v>
      </x:c>
      <x:c r="B203" t="str">
        <x:v>数据汇总(1).xlsx</x:v>
      </x:c>
      <x:c r="C203" t="str">
        <x:v>正式汇总版</x:v>
      </x:c>
      <x:c r="D203" t="str">
        <x:v>Sheet1</x:v>
      </x:c>
      <x:c r="E203" t="n">
        <x:v>0</x:v>
      </x:c>
      <x:c r="F203" t="str">
        <x:v>〈数据块说明〉</x:v>
      </x:c>
      <x:c r="G203" t="str">
        <x:v>—</x:v>
      </x:c>
      <x:c r="H203" t="str">
        <x:v>常量</x:v>
      </x:c>
      <x:c r="I203" t="str">
        <x:v>recycled_data_block</x:v>
      </x:c>
      <x:c r="J203" t="str">
        <x:v>notes</x:v>
      </x:c>
      <x:c r="K203" t="str">
        <x:v>记录正式条件未知和稳定编号原则</x:v>
      </x:c>
      <x:c r="L203" t="str">
        <x:v>允许NULL</x:v>
      </x:c>
      <x:c r="M203" t="str">
        <x:v>文本</x:v>
      </x:c>
      <x:c r="N203" t="str">
        <x:v>不写入推测性说明</x:v>
      </x:c>
      <x:c r="O203" s="30" t="str">
        <x:v>是</x:v>
      </x:c>
      <x:c r="P203"/>
    </x:row>
    <x:row r="204">
      <x:c r="A204" t="str">
        <x:v>M200</x:v>
      </x:c>
      <x:c r="B204" t="str">
        <x:v>数据汇总(1).xlsx</x:v>
      </x:c>
      <x:c r="C204" t="str">
        <x:v>正式汇总版</x:v>
      </x:c>
      <x:c r="D204" t="str">
        <x:v>Sheet1</x:v>
      </x:c>
      <x:c r="E204" t="n">
        <x:v>0</x:v>
      </x:c>
      <x:c r="F204" t="str">
        <x:v>〈数据集关联〉</x:v>
      </x:c>
      <x:c r="G204" t="str">
        <x:v>—</x:v>
      </x:c>
      <x:c r="H204" t="str">
        <x:v>关联</x:v>
      </x:c>
      <x:c r="I204" t="str">
        <x:v>recycled_cycle_observation</x:v>
      </x:c>
      <x:c r="J204" t="str">
        <x:v>dataset_id</x:v>
      </x:c>
      <x:c r="K204" t="str">
        <x:v>按dataset_code引用recycled_dataset</x:v>
      </x:c>
      <x:c r="L204" t="str">
        <x:v>禁止为空</x:v>
      </x:c>
      <x:c r="M204" t="str">
        <x:v>外键有效</x:v>
      </x:c>
      <x:c r="N204" t="str">
        <x:v>必须唯一命中</x:v>
      </x:c>
      <x:c r="O204" s="30" t="str">
        <x:v>是</x:v>
      </x:c>
      <x:c r="P204"/>
    </x:row>
    <x:row r="205">
      <x:c r="A205" t="str">
        <x:v>M201</x:v>
      </x:c>
      <x:c r="B205" t="str">
        <x:v>数据汇总(1).xlsx</x:v>
      </x:c>
      <x:c r="C205" t="str">
        <x:v>正式汇总版</x:v>
      </x:c>
      <x:c r="D205" t="str">
        <x:v>Sheet1</x:v>
      </x:c>
      <x:c r="E205" t="n">
        <x:v>0</x:v>
      </x:c>
      <x:c r="F205" t="str">
        <x:v>〈数据块关联〉</x:v>
      </x:c>
      <x:c r="G205" t="str">
        <x:v>—</x:v>
      </x:c>
      <x:c r="H205" t="str">
        <x:v>关联</x:v>
      </x:c>
      <x:c r="I205" t="str">
        <x:v>recycled_cycle_observation</x:v>
      </x:c>
      <x:c r="J205" t="str">
        <x:v>block_id</x:v>
      </x:c>
      <x:c r="K205" t="str">
        <x:v>按dataset_id和block_code引用数据块</x:v>
      </x:c>
      <x:c r="L205" t="str">
        <x:v>禁止为空</x:v>
      </x:c>
      <x:c r="M205" t="str">
        <x:v>联合外键有效</x:v>
      </x:c>
      <x:c r="N205" t="str">
        <x:v>必须唯一命中</x:v>
      </x:c>
      <x:c r="O205" s="30" t="str">
        <x:v>是</x:v>
      </x:c>
      <x:c r="P205"/>
    </x:row>
    <x:row r="206">
      <x:c r="A206" t="str">
        <x:v>M202</x:v>
      </x:c>
      <x:c r="B206" t="str">
        <x:v>数据汇总(1).xlsx</x:v>
      </x:c>
      <x:c r="C206" t="str">
        <x:v>正式汇总版</x:v>
      </x:c>
      <x:c r="D206" t="str">
        <x:v>Sheet1</x:v>
      </x:c>
      <x:c r="E206" t="n">
        <x:v>1</x:v>
      </x:c>
      <x:c r="F206" t="str">
        <x:v>循环次数</x:v>
      </x:c>
      <x:c r="G206" t="str">
        <x:v>次</x:v>
      </x:c>
      <x:c r="H206" t="str">
        <x:v>直接</x:v>
      </x:c>
      <x:c r="I206" t="str">
        <x:v>recycled_cycle_observation</x:v>
      </x:c>
      <x:c r="J206" t="str">
        <x:v>cycle_no</x:v>
      </x:c>
      <x:c r="K206" t="str">
        <x:v>转换为正整数</x:v>
      </x:c>
      <x:c r="L206" t="str">
        <x:v>禁止为空</x:v>
      </x:c>
      <x:c r="M206" t="str">
        <x:v>&gt;0</x:v>
      </x:c>
      <x:c r="N206" t="str">
        <x:v>同一块内与重复序号联合唯一</x:v>
      </x:c>
      <x:c r="O206" s="30" t="str">
        <x:v>是</x:v>
      </x:c>
      <x:c r="P206"/>
    </x:row>
    <x:row r="207">
      <x:c r="A207" t="str">
        <x:v>M203</x:v>
      </x:c>
      <x:c r="B207" t="str">
        <x:v>数据汇总(1).xlsx</x:v>
      </x:c>
      <x:c r="C207" t="str">
        <x:v>正式汇总版</x:v>
      </x:c>
      <x:c r="D207" t="str">
        <x:v>Sheet1</x:v>
      </x:c>
      <x:c r="E207" t="n">
        <x:v>0</x:v>
      </x:c>
      <x:c r="F207" t="str">
        <x:v>〈同循环行序〉</x:v>
      </x:c>
      <x:c r="G207" t="str">
        <x:v>次</x:v>
      </x:c>
      <x:c r="H207" t="str">
        <x:v>系统生成</x:v>
      </x:c>
      <x:c r="I207" t="str">
        <x:v>recycled_cycle_observation</x:v>
      </x:c>
      <x:c r="J207" t="str">
        <x:v>replicate_no</x:v>
      </x:c>
      <x:c r="K207" t="str">
        <x:v>同一数据块和循环内按源行从1编号</x:v>
      </x:c>
      <x:c r="L207" t="str">
        <x:v>禁止为空</x:v>
      </x:c>
      <x:c r="M207" t="str">
        <x:v>&gt;0</x:v>
      </x:c>
      <x:c r="N207" t="str">
        <x:v>联合键重复时终止导入</x:v>
      </x:c>
      <x:c r="O207" s="30" t="str">
        <x:v>是</x:v>
      </x:c>
      <x:c r="P207"/>
    </x:row>
    <x:row r="208">
      <x:c r="A208" t="str">
        <x:v>M204</x:v>
      </x:c>
      <x:c r="B208" t="str">
        <x:v>数据汇总(1).xlsx</x:v>
      </x:c>
      <x:c r="C208" t="str">
        <x:v>正式汇总版</x:v>
      </x:c>
      <x:c r="D208" t="str">
        <x:v>Sheet1</x:v>
      </x:c>
      <x:c r="E208" t="n">
        <x:v>0</x:v>
      </x:c>
      <x:c r="F208" t="str">
        <x:v>〈Excel行号〉</x:v>
      </x:c>
      <x:c r="G208" t="str">
        <x:v>行</x:v>
      </x:c>
      <x:c r="H208" t="str">
        <x:v>系统生成</x:v>
      </x:c>
      <x:c r="I208" t="str">
        <x:v>recycled_cycle_observation</x:v>
      </x:c>
      <x:c r="J208" t="str">
        <x:v>source_row</x:v>
      </x:c>
      <x:c r="K208" t="str">
        <x:v>写入实际Excel行号</x:v>
      </x:c>
      <x:c r="L208" t="str">
        <x:v>禁止为空</x:v>
      </x:c>
      <x:c r="M208" t="str">
        <x:v>&gt;=2且数据集内唯一</x:v>
      </x:c>
      <x:c r="N208" t="str">
        <x:v>重复源行时终止导入</x:v>
      </x:c>
      <x:c r="O208" s="30" t="str">
        <x:v>是</x:v>
      </x:c>
      <x:c r="P208"/>
    </x:row>
    <x:row r="209">
      <x:c r="A209" t="str">
        <x:v>M205</x:v>
      </x:c>
      <x:c r="B209" t="str">
        <x:v>数据汇总(1).xlsx</x:v>
      </x:c>
      <x:c r="C209" t="str">
        <x:v>正式汇总版</x:v>
      </x:c>
      <x:c r="D209" t="str">
        <x:v>Sheet1</x:v>
      </x:c>
      <x:c r="E209" t="n">
        <x:v>2</x:v>
      </x:c>
      <x:c r="F209" t="str">
        <x:v>0.2-0.3mm纤维占比（%）</x:v>
      </x:c>
      <x:c r="G209" t="str">
        <x:v>%</x:v>
      </x:c>
      <x:c r="H209" t="str">
        <x:v>直接</x:v>
      </x:c>
      <x:c r="I209" t="str">
        <x:v>recycled_cycle_observation</x:v>
      </x:c>
      <x:c r="J209" t="str">
        <x:v>length_0_2_0_3_pct</x:v>
      </x:c>
      <x:c r="K209" t="str">
        <x:v>按原值转换为NUMERIC(18,12)，不平均、不归一化</x:v>
      </x:c>
      <x:c r="L209" t="str">
        <x:v>禁止为空</x:v>
      </x:c>
      <x:c r="M209" t="str">
        <x:v>0至100</x:v>
      </x:c>
      <x:c r="N209" t="str">
        <x:v>非法值时终止该批</x:v>
      </x:c>
      <x:c r="O209" s="30" t="str">
        <x:v>是</x:v>
      </x:c>
      <x:c r="P209" t="str">
        <x:v>10档长度分布合计偏差由质量视图复核</x:v>
      </x:c>
    </x:row>
    <x:row r="210">
      <x:c r="A210" t="str">
        <x:v>M206</x:v>
      </x:c>
      <x:c r="B210" t="str">
        <x:v>数据汇总(1).xlsx</x:v>
      </x:c>
      <x:c r="C210" t="str">
        <x:v>正式汇总版</x:v>
      </x:c>
      <x:c r="D210" t="str">
        <x:v>Sheet1</x:v>
      </x:c>
      <x:c r="E210" t="n">
        <x:v>3</x:v>
      </x:c>
      <x:c r="F210" t="str">
        <x:v>0.3-0.45（%）</x:v>
      </x:c>
      <x:c r="G210" t="str">
        <x:v>%</x:v>
      </x:c>
      <x:c r="H210" t="str">
        <x:v>直接</x:v>
      </x:c>
      <x:c r="I210" t="str">
        <x:v>recycled_cycle_observation</x:v>
      </x:c>
      <x:c r="J210" t="str">
        <x:v>length_0_3_0_45_pct</x:v>
      </x:c>
      <x:c r="K210" t="str">
        <x:v>按原值转换为NUMERIC(18,12)，不平均、不归一化</x:v>
      </x:c>
      <x:c r="L210" t="str">
        <x:v>禁止为空</x:v>
      </x:c>
      <x:c r="M210" t="str">
        <x:v>0至100</x:v>
      </x:c>
      <x:c r="N210" t="str">
        <x:v>非法值时终止该批</x:v>
      </x:c>
      <x:c r="O210" s="30" t="str">
        <x:v>是</x:v>
      </x:c>
      <x:c r="P210" t="str">
        <x:v>10档长度分布合计偏差由质量视图复核</x:v>
      </x:c>
    </x:row>
    <x:row r="211">
      <x:c r="A211" t="str">
        <x:v>M207</x:v>
      </x:c>
      <x:c r="B211" t="str">
        <x:v>数据汇总(1).xlsx</x:v>
      </x:c>
      <x:c r="C211" t="str">
        <x:v>正式汇总版</x:v>
      </x:c>
      <x:c r="D211" t="str">
        <x:v>Sheet1</x:v>
      </x:c>
      <x:c r="E211" t="n">
        <x:v>4</x:v>
      </x:c>
      <x:c r="F211" t="str">
        <x:v>0.45-0.67（%）</x:v>
      </x:c>
      <x:c r="G211" t="str">
        <x:v>%</x:v>
      </x:c>
      <x:c r="H211" t="str">
        <x:v>直接</x:v>
      </x:c>
      <x:c r="I211" t="str">
        <x:v>recycled_cycle_observation</x:v>
      </x:c>
      <x:c r="J211" t="str">
        <x:v>length_0_45_0_67_pct</x:v>
      </x:c>
      <x:c r="K211" t="str">
        <x:v>按原值转换为NUMERIC(18,12)，不平均、不归一化</x:v>
      </x:c>
      <x:c r="L211" t="str">
        <x:v>禁止为空</x:v>
      </x:c>
      <x:c r="M211" t="str">
        <x:v>0至100</x:v>
      </x:c>
      <x:c r="N211" t="str">
        <x:v>非法值时终止该批</x:v>
      </x:c>
      <x:c r="O211" s="30" t="str">
        <x:v>是</x:v>
      </x:c>
      <x:c r="P211" t="str">
        <x:v>10档长度分布合计偏差由质量视图复核</x:v>
      </x:c>
    </x:row>
    <x:row r="212">
      <x:c r="A212" t="str">
        <x:v>M208</x:v>
      </x:c>
      <x:c r="B212" t="str">
        <x:v>数据汇总(1).xlsx</x:v>
      </x:c>
      <x:c r="C212" t="str">
        <x:v>正式汇总版</x:v>
      </x:c>
      <x:c r="D212" t="str">
        <x:v>Sheet1</x:v>
      </x:c>
      <x:c r="E212" t="n">
        <x:v>5</x:v>
      </x:c>
      <x:c r="F212" t="str">
        <x:v>0.67-1（%）</x:v>
      </x:c>
      <x:c r="G212" t="str">
        <x:v>%</x:v>
      </x:c>
      <x:c r="H212" t="str">
        <x:v>直接</x:v>
      </x:c>
      <x:c r="I212" t="str">
        <x:v>recycled_cycle_observation</x:v>
      </x:c>
      <x:c r="J212" t="str">
        <x:v>length_0_67_1_pct</x:v>
      </x:c>
      <x:c r="K212" t="str">
        <x:v>按原值转换为NUMERIC(18,12)，不平均、不归一化</x:v>
      </x:c>
      <x:c r="L212" t="str">
        <x:v>禁止为空</x:v>
      </x:c>
      <x:c r="M212" t="str">
        <x:v>0至100</x:v>
      </x:c>
      <x:c r="N212" t="str">
        <x:v>非法值时终止该批</x:v>
      </x:c>
      <x:c r="O212" s="30" t="str">
        <x:v>是</x:v>
      </x:c>
      <x:c r="P212" t="str">
        <x:v>10档长度分布合计偏差由质量视图复核</x:v>
      </x:c>
    </x:row>
    <x:row r="213">
      <x:c r="A213" t="str">
        <x:v>M209</x:v>
      </x:c>
      <x:c r="B213" t="str">
        <x:v>数据汇总(1).xlsx</x:v>
      </x:c>
      <x:c r="C213" t="str">
        <x:v>正式汇总版</x:v>
      </x:c>
      <x:c r="D213" t="str">
        <x:v>Sheet1</x:v>
      </x:c>
      <x:c r="E213" t="n">
        <x:v>6</x:v>
      </x:c>
      <x:c r="F213" t="str">
        <x:v>1-1.5（%）</x:v>
      </x:c>
      <x:c r="G213" t="str">
        <x:v>%</x:v>
      </x:c>
      <x:c r="H213" t="str">
        <x:v>直接</x:v>
      </x:c>
      <x:c r="I213" t="str">
        <x:v>recycled_cycle_observation</x:v>
      </x:c>
      <x:c r="J213" t="str">
        <x:v>length_1_1_5_pct</x:v>
      </x:c>
      <x:c r="K213" t="str">
        <x:v>按原值转换为NUMERIC(18,12)，不平均、不归一化</x:v>
      </x:c>
      <x:c r="L213" t="str">
        <x:v>禁止为空</x:v>
      </x:c>
      <x:c r="M213" t="str">
        <x:v>0至100</x:v>
      </x:c>
      <x:c r="N213" t="str">
        <x:v>非法值时终止该批</x:v>
      </x:c>
      <x:c r="O213" s="30" t="str">
        <x:v>是</x:v>
      </x:c>
      <x:c r="P213" t="str">
        <x:v>10档长度分布合计偏差由质量视图复核</x:v>
      </x:c>
    </x:row>
    <x:row r="214">
      <x:c r="A214" t="str">
        <x:v>M210</x:v>
      </x:c>
      <x:c r="B214" t="str">
        <x:v>数据汇总(1).xlsx</x:v>
      </x:c>
      <x:c r="C214" t="str">
        <x:v>正式汇总版</x:v>
      </x:c>
      <x:c r="D214" t="str">
        <x:v>Sheet1</x:v>
      </x:c>
      <x:c r="E214" t="n">
        <x:v>7</x:v>
      </x:c>
      <x:c r="F214" t="str">
        <x:v>1.5-2.24（%）</x:v>
      </x:c>
      <x:c r="G214" t="str">
        <x:v>%</x:v>
      </x:c>
      <x:c r="H214" t="str">
        <x:v>直接</x:v>
      </x:c>
      <x:c r="I214" t="str">
        <x:v>recycled_cycle_observation</x:v>
      </x:c>
      <x:c r="J214" t="str">
        <x:v>length_1_5_2_24_pct</x:v>
      </x:c>
      <x:c r="K214" t="str">
        <x:v>按原值转换为NUMERIC(18,12)，不平均、不归一化</x:v>
      </x:c>
      <x:c r="L214" t="str">
        <x:v>禁止为空</x:v>
      </x:c>
      <x:c r="M214" t="str">
        <x:v>0至100</x:v>
      </x:c>
      <x:c r="N214" t="str">
        <x:v>非法值时终止该批</x:v>
      </x:c>
      <x:c r="O214" s="30" t="str">
        <x:v>是</x:v>
      </x:c>
      <x:c r="P214" t="str">
        <x:v>10档长度分布合计偏差由质量视图复核</x:v>
      </x:c>
    </x:row>
    <x:row r="215">
      <x:c r="A215" t="str">
        <x:v>M211</x:v>
      </x:c>
      <x:c r="B215" t="str">
        <x:v>数据汇总(1).xlsx</x:v>
      </x:c>
      <x:c r="C215" t="str">
        <x:v>正式汇总版</x:v>
      </x:c>
      <x:c r="D215" t="str">
        <x:v>Sheet1</x:v>
      </x:c>
      <x:c r="E215" t="n">
        <x:v>8</x:v>
      </x:c>
      <x:c r="F215" t="str">
        <x:v>2.24-3.35（%）</x:v>
      </x:c>
      <x:c r="G215" t="str">
        <x:v>%</x:v>
      </x:c>
      <x:c r="H215" t="str">
        <x:v>直接</x:v>
      </x:c>
      <x:c r="I215" t="str">
        <x:v>recycled_cycle_observation</x:v>
      </x:c>
      <x:c r="J215" t="str">
        <x:v>length_2_24_3_35_pct</x:v>
      </x:c>
      <x:c r="K215" t="str">
        <x:v>按原值转换为NUMERIC(18,12)，不平均、不归一化</x:v>
      </x:c>
      <x:c r="L215" t="str">
        <x:v>禁止为空</x:v>
      </x:c>
      <x:c r="M215" t="str">
        <x:v>0至100</x:v>
      </x:c>
      <x:c r="N215" t="str">
        <x:v>非法值时终止该批</x:v>
      </x:c>
      <x:c r="O215" s="30" t="str">
        <x:v>是</x:v>
      </x:c>
      <x:c r="P215" t="str">
        <x:v>10档长度分布合计偏差由质量视图复核</x:v>
      </x:c>
    </x:row>
    <x:row r="216">
      <x:c r="A216" t="str">
        <x:v>M212</x:v>
      </x:c>
      <x:c r="B216" t="str">
        <x:v>数据汇总(1).xlsx</x:v>
      </x:c>
      <x:c r="C216" t="str">
        <x:v>正式汇总版</x:v>
      </x:c>
      <x:c r="D216" t="str">
        <x:v>Sheet1</x:v>
      </x:c>
      <x:c r="E216" t="n">
        <x:v>9</x:v>
      </x:c>
      <x:c r="F216" t="str">
        <x:v>3.35-5.01（%）</x:v>
      </x:c>
      <x:c r="G216" t="str">
        <x:v>%</x:v>
      </x:c>
      <x:c r="H216" t="str">
        <x:v>直接</x:v>
      </x:c>
      <x:c r="I216" t="str">
        <x:v>recycled_cycle_observation</x:v>
      </x:c>
      <x:c r="J216" t="str">
        <x:v>length_3_35_5_01_pct</x:v>
      </x:c>
      <x:c r="K216" t="str">
        <x:v>按原值转换为NUMERIC(18,12)，不平均、不归一化</x:v>
      </x:c>
      <x:c r="L216" t="str">
        <x:v>禁止为空</x:v>
      </x:c>
      <x:c r="M216" t="str">
        <x:v>0至100</x:v>
      </x:c>
      <x:c r="N216" t="str">
        <x:v>非法值时终止该批</x:v>
      </x:c>
      <x:c r="O216" s="30" t="str">
        <x:v>是</x:v>
      </x:c>
      <x:c r="P216" t="str">
        <x:v>10档长度分布合计偏差由质量视图复核</x:v>
      </x:c>
    </x:row>
    <x:row r="217">
      <x:c r="A217" t="str">
        <x:v>M213</x:v>
      </x:c>
      <x:c r="B217" t="str">
        <x:v>数据汇总(1).xlsx</x:v>
      </x:c>
      <x:c r="C217" t="str">
        <x:v>正式汇总版</x:v>
      </x:c>
      <x:c r="D217" t="str">
        <x:v>Sheet1</x:v>
      </x:c>
      <x:c r="E217" t="n">
        <x:v>10</x:v>
      </x:c>
      <x:c r="F217" t="str">
        <x:v>5.01-7.5（%）</x:v>
      </x:c>
      <x:c r="G217" t="str">
        <x:v>%</x:v>
      </x:c>
      <x:c r="H217" t="str">
        <x:v>直接</x:v>
      </x:c>
      <x:c r="I217" t="str">
        <x:v>recycled_cycle_observation</x:v>
      </x:c>
      <x:c r="J217" t="str">
        <x:v>length_5_01_7_5_pct</x:v>
      </x:c>
      <x:c r="K217" t="str">
        <x:v>按原值转换为NUMERIC(18,12)，不平均、不归一化</x:v>
      </x:c>
      <x:c r="L217" t="str">
        <x:v>禁止为空</x:v>
      </x:c>
      <x:c r="M217" t="str">
        <x:v>0至100</x:v>
      </x:c>
      <x:c r="N217" t="str">
        <x:v>非法值时终止该批</x:v>
      </x:c>
      <x:c r="O217" s="30" t="str">
        <x:v>是</x:v>
      </x:c>
      <x:c r="P217" t="str">
        <x:v>10档长度分布合计偏差由质量视图复核</x:v>
      </x:c>
    </x:row>
    <x:row r="218">
      <x:c r="A218" t="str">
        <x:v>M214</x:v>
      </x:c>
      <x:c r="B218" t="str">
        <x:v>数据汇总(1).xlsx</x:v>
      </x:c>
      <x:c r="C218" t="str">
        <x:v>正式汇总版</x:v>
      </x:c>
      <x:c r="D218" t="str">
        <x:v>Sheet1</x:v>
      </x:c>
      <x:c r="E218" t="n">
        <x:v>11</x:v>
      </x:c>
      <x:c r="F218" t="str">
        <x:v>＞7.5（%）</x:v>
      </x:c>
      <x:c r="G218" t="str">
        <x:v>%</x:v>
      </x:c>
      <x:c r="H218" t="str">
        <x:v>直接</x:v>
      </x:c>
      <x:c r="I218" t="str">
        <x:v>recycled_cycle_observation</x:v>
      </x:c>
      <x:c r="J218" t="str">
        <x:v>length_gt_7_5_pct</x:v>
      </x:c>
      <x:c r="K218" t="str">
        <x:v>按原值转换为NUMERIC(18,12)，不平均、不归一化</x:v>
      </x:c>
      <x:c r="L218" t="str">
        <x:v>禁止为空</x:v>
      </x:c>
      <x:c r="M218" t="str">
        <x:v>0至100</x:v>
      </x:c>
      <x:c r="N218" t="str">
        <x:v>非法值时终止该批</x:v>
      </x:c>
      <x:c r="O218" s="30" t="str">
        <x:v>是</x:v>
      </x:c>
      <x:c r="P218" t="str">
        <x:v>10档长度分布合计偏差由质量视图复核</x:v>
      </x:c>
    </x:row>
    <x:row r="219">
      <x:c r="A219" t="str">
        <x:v>M215</x:v>
      </x:c>
      <x:c r="B219" t="str">
        <x:v>数据汇总(1).xlsx</x:v>
      </x:c>
      <x:c r="C219" t="str">
        <x:v>正式汇总版</x:v>
      </x:c>
      <x:c r="D219" t="str">
        <x:v>Sheet1</x:v>
      </x:c>
      <x:c r="E219" t="n">
        <x:v>12</x:v>
      </x:c>
      <x:c r="F219" t="str">
        <x:v>算数平均长/mm</x:v>
      </x:c>
      <x:c r="G219" t="str">
        <x:v>mm</x:v>
      </x:c>
      <x:c r="H219" t="str">
        <x:v>直接</x:v>
      </x:c>
      <x:c r="I219" t="str">
        <x:v>recycled_cycle_observation</x:v>
      </x:c>
      <x:c r="J219" t="str">
        <x:v>fiber_length_arithmetic_mm</x:v>
      </x:c>
      <x:c r="K219" t="str">
        <x:v>按原值转换为NUMERIC(18,12)，不平均、不归一化</x:v>
      </x:c>
      <x:c r="L219" t="str">
        <x:v>禁止为空</x:v>
      </x:c>
      <x:c r="M219" t="str">
        <x:v>非负</x:v>
      </x:c>
      <x:c r="N219" t="str">
        <x:v>非法值时终止该批</x:v>
      </x:c>
      <x:c r="O219" s="30" t="str">
        <x:v>是</x:v>
      </x:c>
      <x:c r="P219"/>
    </x:row>
    <x:row r="220">
      <x:c r="A220" t="str">
        <x:v>M216</x:v>
      </x:c>
      <x:c r="B220" t="str">
        <x:v>数据汇总(1).xlsx</x:v>
      </x:c>
      <x:c r="C220" t="str">
        <x:v>正式汇总版</x:v>
      </x:c>
      <x:c r="D220" t="str">
        <x:v>Sheet1</x:v>
      </x:c>
      <x:c r="E220" t="n">
        <x:v>13</x:v>
      </x:c>
      <x:c r="F220" t="str">
        <x:v>长度加权长/mm</x:v>
      </x:c>
      <x:c r="G220" t="str">
        <x:v>mm</x:v>
      </x:c>
      <x:c r="H220" t="str">
        <x:v>直接</x:v>
      </x:c>
      <x:c r="I220" t="str">
        <x:v>recycled_cycle_observation</x:v>
      </x:c>
      <x:c r="J220" t="str">
        <x:v>fiber_length_weighted_mm</x:v>
      </x:c>
      <x:c r="K220" t="str">
        <x:v>按原值转换为NUMERIC(18,12)，不平均、不归一化</x:v>
      </x:c>
      <x:c r="L220" t="str">
        <x:v>禁止为空</x:v>
      </x:c>
      <x:c r="M220" t="str">
        <x:v>非负</x:v>
      </x:c>
      <x:c r="N220" t="str">
        <x:v>非法值时终止该批</x:v>
      </x:c>
      <x:c r="O220" s="30" t="str">
        <x:v>是</x:v>
      </x:c>
      <x:c r="P220"/>
    </x:row>
    <x:row r="221">
      <x:c r="A221" t="str">
        <x:v>M217</x:v>
      </x:c>
      <x:c r="B221" t="str">
        <x:v>数据汇总(1).xlsx</x:v>
      </x:c>
      <x:c r="C221" t="str">
        <x:v>正式汇总版</x:v>
      </x:c>
      <x:c r="D221" t="str">
        <x:v>Sheet1</x:v>
      </x:c>
      <x:c r="E221" t="n">
        <x:v>14</x:v>
      </x:c>
      <x:c r="F221" t="str">
        <x:v>宽度/μm</x:v>
      </x:c>
      <x:c r="G221" t="str">
        <x:v>μm</x:v>
      </x:c>
      <x:c r="H221" t="str">
        <x:v>直接</x:v>
      </x:c>
      <x:c r="I221" t="str">
        <x:v>recycled_cycle_observation</x:v>
      </x:c>
      <x:c r="J221" t="str">
        <x:v>fiber_width_um</x:v>
      </x:c>
      <x:c r="K221" t="str">
        <x:v>按原值转换为NUMERIC(18,12)，不平均、不归一化</x:v>
      </x:c>
      <x:c r="L221" t="str">
        <x:v>禁止为空</x:v>
      </x:c>
      <x:c r="M221" t="str">
        <x:v>非负</x:v>
      </x:c>
      <x:c r="N221" t="str">
        <x:v>非法值时终止该批</x:v>
      </x:c>
      <x:c r="O221" s="30" t="str">
        <x:v>是</x:v>
      </x:c>
      <x:c r="P221"/>
    </x:row>
    <x:row r="222">
      <x:c r="A222" t="str">
        <x:v>M218</x:v>
      </x:c>
      <x:c r="B222" t="str">
        <x:v>数据汇总(1).xlsx</x:v>
      </x:c>
      <x:c r="C222" t="str">
        <x:v>正式汇总版</x:v>
      </x:c>
      <x:c r="D222" t="str">
        <x:v>Sheet1</x:v>
      </x:c>
      <x:c r="E222" t="n">
        <x:v>15</x:v>
      </x:c>
      <x:c r="F222" t="str">
        <x:v>粗度/(mg/m)</x:v>
      </x:c>
      <x:c r="G222" t="str">
        <x:v>mg/m</x:v>
      </x:c>
      <x:c r="H222" t="str">
        <x:v>直接</x:v>
      </x:c>
      <x:c r="I222" t="str">
        <x:v>recycled_cycle_observation</x:v>
      </x:c>
      <x:c r="J222" t="str">
        <x:v>fiber_coarseness_mg_m</x:v>
      </x:c>
      <x:c r="K222" t="str">
        <x:v>按原值转换为NUMERIC(18,12)，不平均、不归一化</x:v>
      </x:c>
      <x:c r="L222" t="str">
        <x:v>禁止为空</x:v>
      </x:c>
      <x:c r="M222" t="str">
        <x:v>非负</x:v>
      </x:c>
      <x:c r="N222" t="str">
        <x:v>非法值时终止该批</x:v>
      </x:c>
      <x:c r="O222" s="30" t="str">
        <x:v>是</x:v>
      </x:c>
      <x:c r="P222"/>
    </x:row>
    <x:row r="223">
      <x:c r="A223" t="str">
        <x:v>M219</x:v>
      </x:c>
      <x:c r="B223" t="str">
        <x:v>数据汇总(1).xlsx</x:v>
      </x:c>
      <x:c r="C223" t="str">
        <x:v>正式汇总版</x:v>
      </x:c>
      <x:c r="D223" t="str">
        <x:v>Sheet1</x:v>
      </x:c>
      <x:c r="E223" t="n">
        <x:v>16</x:v>
      </x:c>
      <x:c r="F223" t="str">
        <x:v>扭结角度/度</x:v>
      </x:c>
      <x:c r="G223" t="str">
        <x:v>°</x:v>
      </x:c>
      <x:c r="H223" t="str">
        <x:v>直接</x:v>
      </x:c>
      <x:c r="I223" t="str">
        <x:v>recycled_cycle_observation</x:v>
      </x:c>
      <x:c r="J223" t="str">
        <x:v>kink_angle_deg</x:v>
      </x:c>
      <x:c r="K223" t="str">
        <x:v>按原值转换为NUMERIC(18,12)，不平均、不归一化</x:v>
      </x:c>
      <x:c r="L223" t="str">
        <x:v>禁止为空</x:v>
      </x:c>
      <x:c r="M223" t="str">
        <x:v>0至180</x:v>
      </x:c>
      <x:c r="N223" t="str">
        <x:v>非法值时终止该批</x:v>
      </x:c>
      <x:c r="O223" s="30" t="str">
        <x:v>是</x:v>
      </x:c>
      <x:c r="P223"/>
    </x:row>
    <x:row r="224">
      <x:c r="A224" t="str">
        <x:v>M220</x:v>
      </x:c>
      <x:c r="B224" t="str">
        <x:v>数据汇总(1).xlsx</x:v>
      </x:c>
      <x:c r="C224" t="str">
        <x:v>正式汇总版</x:v>
      </x:c>
      <x:c r="D224" t="str">
        <x:v>Sheet1</x:v>
      </x:c>
      <x:c r="E224" t="n">
        <x:v>17</x:v>
      </x:c>
      <x:c r="F224" t="str">
        <x:v>扭结纤维占比/%</x:v>
      </x:c>
      <x:c r="G224" t="str">
        <x:v>%</x:v>
      </x:c>
      <x:c r="H224" t="str">
        <x:v>直接</x:v>
      </x:c>
      <x:c r="I224" t="str">
        <x:v>recycled_cycle_observation</x:v>
      </x:c>
      <x:c r="J224" t="str">
        <x:v>kinked_fiber_pct</x:v>
      </x:c>
      <x:c r="K224" t="str">
        <x:v>按原值转换为NUMERIC(18,12)，不平均、不归一化</x:v>
      </x:c>
      <x:c r="L224" t="str">
        <x:v>禁止为空</x:v>
      </x:c>
      <x:c r="M224" t="str">
        <x:v>0至100</x:v>
      </x:c>
      <x:c r="N224" t="str">
        <x:v>非法值时终止该批</x:v>
      </x:c>
      <x:c r="O224" s="30" t="str">
        <x:v>是</x:v>
      </x:c>
      <x:c r="P224"/>
    </x:row>
    <x:row r="225">
      <x:c r="A225" t="str">
        <x:v>M221</x:v>
      </x:c>
      <x:c r="B225" t="str">
        <x:v>数据汇总(1).xlsx</x:v>
      </x:c>
      <x:c r="C225" t="str">
        <x:v>正式汇总版</x:v>
      </x:c>
      <x:c r="D225" t="str">
        <x:v>Sheet1</x:v>
      </x:c>
      <x:c r="E225" t="n">
        <x:v>18</x:v>
      </x:c>
      <x:c r="F225" t="str">
        <x:v>弯曲/%</x:v>
      </x:c>
      <x:c r="G225" t="str">
        <x:v>%</x:v>
      </x:c>
      <x:c r="H225" t="str">
        <x:v>直接</x:v>
      </x:c>
      <x:c r="I225" t="str">
        <x:v>recycled_cycle_observation</x:v>
      </x:c>
      <x:c r="J225" t="str">
        <x:v>curved_fiber_pct</x:v>
      </x:c>
      <x:c r="K225" t="str">
        <x:v>按原值转换为NUMERIC(18,12)，不平均、不归一化</x:v>
      </x:c>
      <x:c r="L225" t="str">
        <x:v>禁止为空</x:v>
      </x:c>
      <x:c r="M225" t="str">
        <x:v>0至100</x:v>
      </x:c>
      <x:c r="N225" t="str">
        <x:v>非法值时终止该批</x:v>
      </x:c>
      <x:c r="O225" s="30" t="str">
        <x:v>是</x:v>
      </x:c>
      <x:c r="P225"/>
    </x:row>
    <x:row r="226">
      <x:c r="A226" t="str">
        <x:v>M222</x:v>
      </x:c>
      <x:c r="B226" t="str">
        <x:v>数据汇总(1).xlsx</x:v>
      </x:c>
      <x:c r="C226" t="str">
        <x:v>正式汇总版</x:v>
      </x:c>
      <x:c r="D226" t="str">
        <x:v>Sheet1</x:v>
      </x:c>
      <x:c r="E226" t="n">
        <x:v>19</x:v>
      </x:c>
      <x:c r="F226" t="str">
        <x:v>分丝帚化长度比/%</x:v>
      </x:c>
      <x:c r="G226" t="str">
        <x:v>%</x:v>
      </x:c>
      <x:c r="H226" t="str">
        <x:v>直接</x:v>
      </x:c>
      <x:c r="I226" t="str">
        <x:v>recycled_cycle_observation</x:v>
      </x:c>
      <x:c r="J226" t="str">
        <x:v>fibrillation_length_pct</x:v>
      </x:c>
      <x:c r="K226" t="str">
        <x:v>按原值转换为NUMERIC(18,12)，不平均、不归一化</x:v>
      </x:c>
      <x:c r="L226" t="str">
        <x:v>禁止为空</x:v>
      </x:c>
      <x:c r="M226" t="str">
        <x:v>0至100</x:v>
      </x:c>
      <x:c r="N226" t="str">
        <x:v>非法值时终止该批</x:v>
      </x:c>
      <x:c r="O226" s="30" t="str">
        <x:v>是</x:v>
      </x:c>
      <x:c r="P226"/>
    </x:row>
    <x:row r="227">
      <x:c r="A227" t="str">
        <x:v>M223</x:v>
      </x:c>
      <x:c r="B227" t="str">
        <x:v>数据汇总(1).xlsx</x:v>
      </x:c>
      <x:c r="C227" t="str">
        <x:v>正式汇总版</x:v>
      </x:c>
      <x:c r="D227" t="str">
        <x:v>Sheet1</x:v>
      </x:c>
      <x:c r="E227" t="n">
        <x:v>20</x:v>
      </x:c>
      <x:c r="F227" t="str">
        <x:v>折断纤维比/%</x:v>
      </x:c>
      <x:c r="G227" t="str">
        <x:v>%</x:v>
      </x:c>
      <x:c r="H227" t="str">
        <x:v>直接</x:v>
      </x:c>
      <x:c r="I227" t="str">
        <x:v>recycled_cycle_observation</x:v>
      </x:c>
      <x:c r="J227" t="str">
        <x:v>broken_fiber_pct</x:v>
      </x:c>
      <x:c r="K227" t="str">
        <x:v>按原值转换为NUMERIC(18,12)，不平均、不归一化</x:v>
      </x:c>
      <x:c r="L227" t="str">
        <x:v>禁止为空</x:v>
      </x:c>
      <x:c r="M227" t="str">
        <x:v>0至100</x:v>
      </x:c>
      <x:c r="N227" t="str">
        <x:v>非法值时终止该批</x:v>
      </x:c>
      <x:c r="O227" s="30" t="str">
        <x:v>是</x:v>
      </x:c>
      <x:c r="P227"/>
    </x:row>
    <x:row r="228">
      <x:c r="A228" t="str">
        <x:v>M224</x:v>
      </x:c>
      <x:c r="B228" t="str">
        <x:v>数据汇总(1).xlsx</x:v>
      </x:c>
      <x:c r="C228" t="str">
        <x:v>正式汇总版</x:v>
      </x:c>
      <x:c r="D228" t="str">
        <x:v>Sheet1</x:v>
      </x:c>
      <x:c r="E228" t="n">
        <x:v>21</x:v>
      </x:c>
      <x:c r="F228" t="str">
        <x:v>细小纤维长度比/%</x:v>
      </x:c>
      <x:c r="G228" t="str">
        <x:v>%</x:v>
      </x:c>
      <x:c r="H228" t="str">
        <x:v>直接</x:v>
      </x:c>
      <x:c r="I228" t="str">
        <x:v>recycled_cycle_observation</x:v>
      </x:c>
      <x:c r="J228" t="str">
        <x:v>fines_length_pct</x:v>
      </x:c>
      <x:c r="K228" t="str">
        <x:v>按原值转换为NUMERIC(18,12)，不平均、不归一化</x:v>
      </x:c>
      <x:c r="L228" t="str">
        <x:v>禁止为空</x:v>
      </x:c>
      <x:c r="M228" t="str">
        <x:v>0至100</x:v>
      </x:c>
      <x:c r="N228" t="str">
        <x:v>非法值时终止该批</x:v>
      </x:c>
      <x:c r="O228" s="30" t="str">
        <x:v>是</x:v>
      </x:c>
      <x:c r="P228"/>
    </x:row>
    <x:row r="229">
      <x:c r="A229" t="str">
        <x:v>M225</x:v>
      </x:c>
      <x:c r="B229" t="str">
        <x:v>数据汇总(1).xlsx</x:v>
      </x:c>
      <x:c r="C229" t="str">
        <x:v>正式汇总版</x:v>
      </x:c>
      <x:c r="D229" t="str">
        <x:v>Sheet1</x:v>
      </x:c>
      <x:c r="E229" t="n">
        <x:v>22</x:v>
      </x:c>
      <x:c r="F229" t="str">
        <x:v>细小纤维加权长度比/%</x:v>
      </x:c>
      <x:c r="G229" t="str">
        <x:v>%</x:v>
      </x:c>
      <x:c r="H229" t="str">
        <x:v>直接</x:v>
      </x:c>
      <x:c r="I229" t="str">
        <x:v>recycled_cycle_observation</x:v>
      </x:c>
      <x:c r="J229" t="str">
        <x:v>fines_weighted_length_pct</x:v>
      </x:c>
      <x:c r="K229" t="str">
        <x:v>按原值转换为NUMERIC(18,12)，不平均、不归一化</x:v>
      </x:c>
      <x:c r="L229" t="str">
        <x:v>禁止为空</x:v>
      </x:c>
      <x:c r="M229" t="str">
        <x:v>0至100</x:v>
      </x:c>
      <x:c r="N229" t="str">
        <x:v>非法值时终止该批</x:v>
      </x:c>
      <x:c r="O229" s="30" t="str">
        <x:v>是</x:v>
      </x:c>
      <x:c r="P229"/>
    </x:row>
    <x:row r="230">
      <x:c r="A230" t="str">
        <x:v>M226</x:v>
      </x:c>
      <x:c r="B230" t="str">
        <x:v>数据汇总(1).xlsx</x:v>
      </x:c>
      <x:c r="C230" t="str">
        <x:v>正式汇总版</x:v>
      </x:c>
      <x:c r="D230" t="str">
        <x:v>Sheet1</x:v>
      </x:c>
      <x:c r="E230" t="n">
        <x:v>23</x:v>
      </x:c>
      <x:c r="F230" t="str">
        <x:v>细小纤维面积比/%</x:v>
      </x:c>
      <x:c r="G230" t="str">
        <x:v>%</x:v>
      </x:c>
      <x:c r="H230" t="str">
        <x:v>直接</x:v>
      </x:c>
      <x:c r="I230" t="str">
        <x:v>recycled_cycle_observation</x:v>
      </x:c>
      <x:c r="J230" t="str">
        <x:v>fines_area_pct</x:v>
      </x:c>
      <x:c r="K230" t="str">
        <x:v>按原值转换为NUMERIC(18,12)，不平均、不归一化</x:v>
      </x:c>
      <x:c r="L230" t="str">
        <x:v>禁止为空</x:v>
      </x:c>
      <x:c r="M230" t="str">
        <x:v>0至100</x:v>
      </x:c>
      <x:c r="N230" t="str">
        <x:v>非法值时终止该批</x:v>
      </x:c>
      <x:c r="O230" s="30" t="str">
        <x:v>是</x:v>
      </x:c>
      <x:c r="P230"/>
    </x:row>
    <x:row r="231">
      <x:c r="A231" t="str">
        <x:v>M227</x:v>
      </x:c>
      <x:c r="B231" t="str">
        <x:v>数据汇总(1).xlsx</x:v>
      </x:c>
      <x:c r="C231" t="str">
        <x:v>正式汇总版</x:v>
      </x:c>
      <x:c r="D231" t="str">
        <x:v>Sheet1</x:v>
      </x:c>
      <x:c r="E231" t="n">
        <x:v>24</x:v>
      </x:c>
      <x:c r="F231" t="str">
        <x:v>抗张强度（kN/m）</x:v>
      </x:c>
      <x:c r="G231" t="str">
        <x:v>kN/m</x:v>
      </x:c>
      <x:c r="H231" t="str">
        <x:v>直接</x:v>
      </x:c>
      <x:c r="I231" t="str">
        <x:v>recycled_cycle_observation</x:v>
      </x:c>
      <x:c r="J231" t="str">
        <x:v>tensile_strength_kn_m</x:v>
      </x:c>
      <x:c r="K231" t="str">
        <x:v>按原值转换为NUMERIC(18,12)，不平均、不归一化</x:v>
      </x:c>
      <x:c r="L231" t="str">
        <x:v>禁止为空</x:v>
      </x:c>
      <x:c r="M231" t="str">
        <x:v>非负</x:v>
      </x:c>
      <x:c r="N231" t="str">
        <x:v>非法值时终止该批</x:v>
      </x:c>
      <x:c r="O231" s="30" t="str">
        <x:v>是</x:v>
      </x:c>
      <x:c r="P231"/>
    </x:row>
    <x:row r="232">
      <x:c r="A232" t="str">
        <x:v>M228</x:v>
      </x:c>
      <x:c r="B232" t="str">
        <x:v>数据汇总(1).xlsx</x:v>
      </x:c>
      <x:c r="C232" t="str">
        <x:v>正式汇总版</x:v>
      </x:c>
      <x:c r="D232" t="str">
        <x:v>Sheet1</x:v>
      </x:c>
      <x:c r="E232" t="n">
        <x:v>25</x:v>
      </x:c>
      <x:c r="F232" t="str">
        <x:v>耐破强度（kPa）</x:v>
      </x:c>
      <x:c r="G232" t="str">
        <x:v>kPa</x:v>
      </x:c>
      <x:c r="H232" t="str">
        <x:v>直接</x:v>
      </x:c>
      <x:c r="I232" t="str">
        <x:v>recycled_cycle_observation</x:v>
      </x:c>
      <x:c r="J232" t="str">
        <x:v>burst_strength_kpa</x:v>
      </x:c>
      <x:c r="K232" t="str">
        <x:v>按原值转换为NUMERIC(18,12)，不平均、不归一化</x:v>
      </x:c>
      <x:c r="L232" t="str">
        <x:v>禁止为空</x:v>
      </x:c>
      <x:c r="M232" t="str">
        <x:v>非负</x:v>
      </x:c>
      <x:c r="N232" t="str">
        <x:v>非法值时终止该批</x:v>
      </x:c>
      <x:c r="O232" s="30" t="str">
        <x:v>是</x:v>
      </x:c>
      <x:c r="P232"/>
    </x:row>
    <x:row r="233">
      <x:c r="A233" t="str">
        <x:v>M229</x:v>
      </x:c>
      <x:c r="B233" t="str">
        <x:v>数据汇总(1).xlsx</x:v>
      </x:c>
      <x:c r="C233" t="str">
        <x:v>正式汇总版</x:v>
      </x:c>
      <x:c r="D233" t="str">
        <x:v>Sheet1</x:v>
      </x:c>
      <x:c r="E233" t="n">
        <x:v>26</x:v>
      </x:c>
      <x:c r="F233" t="str">
        <x:v>撕裂强度（mN）</x:v>
      </x:c>
      <x:c r="G233" t="str">
        <x:v>mN</x:v>
      </x:c>
      <x:c r="H233" t="str">
        <x:v>直接</x:v>
      </x:c>
      <x:c r="I233" t="str">
        <x:v>recycled_cycle_observation</x:v>
      </x:c>
      <x:c r="J233" t="str">
        <x:v>tear_strength_mn</x:v>
      </x:c>
      <x:c r="K233" t="str">
        <x:v>按原值转换为NUMERIC(18,12)，不平均、不归一化</x:v>
      </x:c>
      <x:c r="L233" t="str">
        <x:v>禁止为空</x:v>
      </x:c>
      <x:c r="M233" t="str">
        <x:v>非负</x:v>
      </x:c>
      <x:c r="N233" t="str">
        <x:v>非法值时终止该批</x:v>
      </x:c>
      <x:c r="O233" s="30" t="str">
        <x:v>是</x:v>
      </x:c>
      <x:c r="P233"/>
    </x:row>
  </x:sheetData>
  <x:mergeCells>
    <x:mergeCell ref="A1:P1"/>
    <x:mergeCell ref="A2:P2"/>
  </x:mergeCells>
  <x:conditionalFormatting sqref="O5:O180">
    <x:cfRule type="containsText" dxfId="4" priority="1" operator="containsText" text="是"/>
    <x:cfRule type="containsText" dxfId="5" priority="2" operator="containsText" text="否"/>
  </x:conditionalFormatting>
  <x:conditionalFormatting sqref="H5:H180">
    <x:cfRule type="containsText" dxfId="6" priority="3" operator="containsText" text="排除"/>
  </x:conditionalFormatting>
  <x:dataValidations count="1">
    <x:dataValidation type="list" sqref="O5:O180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428e85968b46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28" hidden="0" customWidth="1"/>
    <x:col min="4" max="4" width="54" hidden="0" customWidth="1"/>
    <x:col min="5" max="5" width="12" hidden="0" customWidth="1"/>
    <x:col min="6" max="6" width="30" hidden="0" customWidth="1"/>
    <x:col min="7" max="7" width="42" hidden="0" customWidth="1"/>
    <x:col min="8" max="8" width="14" hidden="0" customWidth="1"/>
  </x:cols>
  <x:sheetData>
    <x:row r="1" ht="32" customHeight="1">
      <x:c r="A1" s="3" t="str">
        <x:v>植物纤维数据库｜入库规则与验收标准</x:v>
      </x:c>
      <x:c r="B1" s="3"/>
      <x:c r="C1" s="3"/>
      <x:c r="D1" s="3"/>
      <x:c r="E1" s="3"/>
      <x:c r="F1" s="3"/>
      <x:c r="G1" s="3"/>
      <x:c r="H1" s="3"/>
    </x:row>
    <x:row r="2" ht="36" customHeight="1">
      <x:c r="A2" s="7" t="str">
        <x:v>核心数量继续由公式计算；扩展数据使用V010验收基线；任何阻断规则失败时当前批次整批回滚</x:v>
      </x:c>
      <x:c r="B2" s="7"/>
      <x:c r="C2" s="7"/>
      <x:c r="D2" s="7"/>
      <x:c r="E2" s="7"/>
      <x:c r="F2" s="7"/>
      <x:c r="G2" s="7"/>
      <x:c r="H2" s="7"/>
    </x:row>
    <x:row r="4" ht="24" customHeight="1">
      <x:c r="A4" s="9" t="str">
        <x:v>一、预计数量基线</x:v>
      </x:c>
      <x:c r="B4" s="9"/>
      <x:c r="C4" s="9"/>
      <x:c r="D4" s="9"/>
      <x:c r="E4" s="9"/>
      <x:c r="F4" s="9"/>
      <x:c r="G4" s="9"/>
      <x:c r="H4" s="9"/>
    </x:row>
    <x:row r="5" ht="30" customHeight="1">
      <x:c r="A5" s="21" t="str">
        <x:v>基线项目</x:v>
      </x:c>
      <x:c r="B5" s="21" t="str">
        <x:v>预计数量</x:v>
      </x:c>
      <x:c r="C5" s="21" t="str">
        <x:v>计算依据</x:v>
      </x:c>
      <x:c r="D5"/>
      <x:c r="E5"/>
      <x:c r="F5"/>
      <x:c r="G5"/>
      <x:c r="H5"/>
    </x:row>
    <x:row r="6" ht="34" customHeight="1">
      <x:c r="A6" s="16" t="str">
        <x:v>针叶木纯浆样本数</x:v>
      </x:c>
      <x:c r="B6" s="22" t="n">
        <x:v>28</x:v>
      </x:c>
      <x:c r="C6" s="16" t="str">
        <x:v>针叶木三个正式文件按打浆转数对齐</x:v>
      </x:c>
      <x:c r="D6"/>
      <x:c r="E6"/>
      <x:c r="F6"/>
      <x:c r="G6"/>
      <x:c r="H6"/>
    </x:row>
    <x:row r="7" ht="34" customHeight="1">
      <x:c r="A7" s="16" t="str">
        <x:v>阔叶木纯浆样本数</x:v>
      </x:c>
      <x:c r="B7" s="22" t="n">
        <x:v>24</x:v>
      </x:c>
      <x:c r="C7" s="16" t="str">
        <x:v>阔叶木三个正式文件按打浆转数对齐</x:v>
      </x:c>
      <x:c r="D7"/>
      <x:c r="E7"/>
      <x:c r="F7"/>
      <x:c r="G7"/>
      <x:c r="H7"/>
    </x:row>
    <x:row r="8" ht="34" customHeight="1">
      <x:c r="A8" s="16" t="str">
        <x:v>复配实验展示点数</x:v>
      </x:c>
      <x:c r="B8" s="22" t="n">
        <x:v>11</x:v>
      </x:c>
      <x:c r="C8" s="16" t="str">
        <x:v>zk010、zk19…zk100</x:v>
      </x:c>
      <x:c r="D8"/>
      <x:c r="E8"/>
      <x:c r="F8"/>
      <x:c r="G8"/>
      <x:c r="H8"/>
    </x:row>
    <x:row r="9" ht="34" customHeight="1">
      <x:c r="A9" s="16" t="str">
        <x:v>复配复用端点数</x:v>
      </x:c>
      <x:c r="B9" s="22" t="n">
        <x:v>2</x:v>
      </x:c>
      <x:c r="C9" s="16" t="str">
        <x:v>zk010复用HW_R08000，zk100复用SW_R14000</x:v>
      </x:c>
      <x:c r="D9"/>
      <x:c r="E9"/>
      <x:c r="F9"/>
      <x:c r="G9"/>
      <x:c r="H9"/>
    </x:row>
    <x:row r="10" ht="34" customHeight="1">
      <x:c r="A10" s="16" t="str">
        <x:v>复配新增样本数</x:v>
      </x:c>
      <x:c r="B10" s="22" t="n">
        <x:f>B8-B9</x:f>
        <x:v>9</x:v>
      </x:c>
      <x:c r="C10" s="16" t="str">
        <x:v>复配展示点减去两个复用端点</x:v>
      </x:c>
      <x:c r="D10"/>
      <x:c r="E10"/>
      <x:c r="F10"/>
      <x:c r="G10"/>
      <x:c r="H10"/>
    </x:row>
    <x:row r="11" ht="34" customHeight="1">
      <x:c r="A11" s="16" t="str">
        <x:v>唯一样本总数</x:v>
      </x:c>
      <x:c r="B11" s="22" t="n">
        <x:f>B6+B7+B10</x:f>
        <x:v>61</x:v>
      </x:c>
      <x:c r="C11" s="16" t="str">
        <x:v>针叶木+阔叶木+复配新增样本</x:v>
      </x:c>
      <x:c r="D11"/>
      <x:c r="E11"/>
      <x:c r="F11"/>
      <x:c r="G11"/>
      <x:c r="H11"/>
    </x:row>
    <x:row r="12" ht="34" customHeight="1">
      <x:c r="A12" s="16" t="str">
        <x:v>实验展示点总数</x:v>
      </x:c>
      <x:c r="B12" s="22" t="n">
        <x:f>B6+B7+B8</x:f>
        <x:v>63</x:v>
      </x:c>
      <x:c r="C12" s="16" t="str">
        <x:v>28+24+11</x:v>
      </x:c>
      <x:c r="D12"/>
      <x:c r="E12"/>
      <x:c r="F12"/>
      <x:c r="G12"/>
      <x:c r="H12"/>
    </x:row>
    <x:row r="13" ht="34" customHeight="1">
      <x:c r="A13" s="16" t="str">
        <x:v>样本组分记录数</x:v>
      </x:c>
      <x:c r="B13" s="22" t="n">
        <x:f>B6+B7+B10*2</x:f>
        <x:v>70</x:v>
      </x:c>
      <x:c r="C13" s="16" t="str">
        <x:v>52个纯浆单组分+9个复配双组分</x:v>
      </x:c>
      <x:c r="D13"/>
      <x:c r="E13"/>
      <x:c r="F13"/>
      <x:c r="G13"/>
      <x:c r="H13"/>
    </x:row>
    <x:row r="14" ht="34" customHeight="1">
      <x:c r="A14" s="16" t="str">
        <x:v>纤维测量记录数</x:v>
      </x:c>
      <x:c r="B14" s="22" t="n">
        <x:f>B11</x:f>
        <x:v>61</x:v>
      </x:c>
      <x:c r="C14" s="16" t="str">
        <x:v>每个唯一样本一条</x:v>
      </x:c>
      <x:c r="D14"/>
      <x:c r="E14"/>
      <x:c r="F14"/>
      <x:c r="G14"/>
      <x:c r="H14"/>
    </x:row>
    <x:row r="15" ht="34" customHeight="1">
      <x:c r="A15" s="16" t="str">
        <x:v>纸张测量记录数</x:v>
      </x:c>
      <x:c r="B15" s="22" t="n">
        <x:f>B11</x:f>
        <x:v>61</x:v>
      </x:c>
      <x:c r="C15" s="16" t="str">
        <x:v>每个唯一样本一条</x:v>
      </x:c>
      <x:c r="D15"/>
      <x:c r="E15"/>
      <x:c r="F15"/>
      <x:c r="G15"/>
      <x:c r="H15"/>
    </x:row>
    <x:row r="16" ht="34" customHeight="1">
      <x:c r="A16" s="16" t="str">
        <x:v>核心来源行记录数</x:v>
      </x:c>
      <x:c r="B16" s="22" t="n">
        <x:f>B6*3+B7*3+B8*2</x:f>
        <x:v>178</x:v>
      </x:c>
      <x:c r="C16" s="16" t="str">
        <x:v>针叶木3×28+阔叶木3×24+复配2×11</x:v>
      </x:c>
      <x:c r="D16"/>
      <x:c r="E16"/>
      <x:c r="F16"/>
      <x:c r="G16"/>
      <x:c r="H16"/>
    </x:row>
    <x:row r="17">
      <x:c r="A17" t="str">
        <x:v>再生纸浆数据集数</x:v>
      </x:c>
      <x:c r="B17" t="n">
        <x:v>1</x:v>
      </x:c>
      <x:c r="C17" t="str">
        <x:v>数据汇总工作簿形成1个独立数据集</x:v>
      </x:c>
      <x:c r="D17"/>
      <x:c r="E17"/>
      <x:c r="F17"/>
      <x:c r="G17"/>
      <x:c r="H17"/>
    </x:row>
    <x:row r="18">
      <x:c r="A18" t="str">
        <x:v>再生纸浆数据块数</x:v>
      </x:c>
      <x:c r="B18" t="n">
        <x:v>14</x:v>
      </x:c>
      <x:c r="C18" t="str">
        <x:v>按源表连续区域生成G01-G14</x:v>
      </x:c>
      <x:c r="D18"/>
      <x:c r="E18"/>
      <x:c r="F18"/>
      <x:c r="G18"/>
      <x:c r="H18"/>
    </x:row>
    <x:row r="19" ht="24" customHeight="1">
      <x:c r="A19" s="9" t="str">
        <x:v>再生纸浆逐行观测数</x:v>
      </x:c>
      <x:c r="B19" s="9" t="n">
        <x:v>131</x:v>
      </x:c>
      <x:c r="C19" s="9" t="str">
        <x:v>V010正式验收基线</x:v>
      </x:c>
      <x:c r="D19" s="9"/>
      <x:c r="E19" s="9"/>
      <x:c r="F19" s="9"/>
      <x:c r="G19" s="9"/>
      <x:c r="H19" s="9"/>
    </x:row>
    <x:row r="20" ht="30" customHeight="1">
      <x:c r="A20" s="21" t="str">
        <x:v>数据块×循环汇总点数</x:v>
      </x:c>
      <x:c r="B20" s="21" t="n">
        <x:v>47</x:v>
      </x:c>
      <x:c r="C20" s="21" t="str">
        <x:v>按block_id和cycle_no分组</x:v>
      </x:c>
      <x:c r="D20" s="21"/>
      <x:c r="E20" s="21"/>
      <x:c r="F20" s="21"/>
      <x:c r="G20" s="21"/>
      <x:c r="H20" s="21"/>
    </x:row>
    <x:row r="21" ht="34" customHeight="1">
      <x:c r="A21" s="16" t="str">
        <x:v>质量复核记录数</x:v>
      </x:c>
      <x:c r="B21" s="16" t="n">
        <x:v>4</x:v>
      </x:c>
      <x:c r="C21" s="16" t="str">
        <x:v>长度分布合计偏离100%超过1个百分点</x:v>
      </x:c>
      <x:c r="D21" s="16"/>
      <x:c r="E21" s="16"/>
      <x:c r="F21" s="16"/>
      <x:c r="G21" s="16"/>
      <x:c r="H21" s="16"/>
    </x:row>
    <x:row r="22" ht="34" customHeight="1">
      <x:c r="A22" s="16"/>
      <x:c r="B22" s="16"/>
      <x:c r="C22" s="16"/>
      <x:c r="D22" s="16"/>
      <x:c r="E22" s="16"/>
      <x:c r="F22" s="16"/>
      <x:c r="G22" s="16"/>
      <x:c r="H22" s="16"/>
    </x:row>
    <x:row r="23" ht="34" customHeight="1">
      <x:c r="A23" s="16"/>
      <x:c r="B23" s="16"/>
      <x:c r="C23" s="16"/>
      <x:c r="D23" s="16"/>
      <x:c r="E23" s="16"/>
      <x:c r="F23" s="16"/>
      <x:c r="G23" s="16"/>
      <x:c r="H23" s="16"/>
    </x:row>
    <x:row r="24" ht="34" customHeight="1">
      <x:c r="A24" s="25" t="str">
        <x:v>二、正式入库与交付验收规则</x:v>
      </x:c>
      <x:c r="B24" s="25"/>
      <x:c r="C24" s="25"/>
      <x:c r="D24" s="25"/>
      <x:c r="E24" s="25"/>
      <x:c r="F24" s="25"/>
      <x:c r="G24" s="25"/>
      <x:c r="H24" s="25"/>
    </x:row>
    <x:row r="25" ht="34" customHeight="1">
      <x:c r="A25" s="36" t="str">
        <x:v>规则ID</x:v>
      </x:c>
      <x:c r="B25" s="36" t="str">
        <x:v>类别</x:v>
      </x:c>
      <x:c r="C25" s="36" t="str">
        <x:v>检查对象</x:v>
      </x:c>
      <x:c r="D25" s="36" t="str">
        <x:v>正式规则</x:v>
      </x:c>
      <x:c r="E25" s="36" t="str">
        <x:v>级别</x:v>
      </x:c>
      <x:c r="F25" s="36" t="str">
        <x:v>预期结果</x:v>
      </x:c>
      <x:c r="G25" s="36" t="str">
        <x:v>失败处理</x:v>
      </x:c>
      <x:c r="H25" s="36" t="str">
        <x:v>规则状态</x:v>
      </x:c>
    </x:row>
    <x:row r="26" ht="34" customHeight="1">
      <x:c r="A26" s="16" t="str">
        <x:v>R001</x:v>
      </x:c>
      <x:c r="B26" s="16" t="str">
        <x:v>来源</x:v>
      </x:c>
      <x:c r="C26" s="16" t="str">
        <x:v>正式文件白名单</x:v>
      </x:c>
      <x:c r="D26" s="16" t="str">
        <x:v>仅允许8份核心实验Excel和数据汇总工作簿参与对应导入</x:v>
      </x:c>
      <x:c r="E26" s="38" t="str">
        <x:v>阻断</x:v>
      </x:c>
      <x:c r="F26" s="16" t="str">
        <x:v>9份来源工作簿</x:v>
      </x:c>
      <x:c r="G26" s="16" t="str">
        <x:v>终止该批并记录文件名</x:v>
      </x:c>
      <x:c r="H26" s="16" t="str">
        <x:v>已确定</x:v>
      </x:c>
    </x:row>
    <x:row r="27" ht="34" customHeight="1">
      <x:c r="A27" s="16" t="str">
        <x:v>R002</x:v>
      </x:c>
      <x:c r="B27" s="16" t="str">
        <x:v>来源</x:v>
      </x:c>
      <x:c r="C27" s="16" t="str">
        <x:v>数据汇总(1).xlsx</x:v>
      </x:c>
      <x:c r="D27" s="16" t="str">
        <x:v>作为独立再生纸浆数据集导入，不混入61个最终均值样本</x:v>
      </x:c>
      <x:c r="E27" s="38" t="str">
        <x:v>阻断</x:v>
      </x:c>
      <x:c r="F27" s="16" t="str">
        <x:v>1个数据集、14块、131条观测</x:v>
      </x:c>
      <x:c r="G27" s="16" t="str">
        <x:v>终止扩展数据批次</x:v>
      </x:c>
      <x:c r="H27" s="16" t="str">
        <x:v>已确定</x:v>
      </x:c>
    </x:row>
    <x:row r="28" ht="34" customHeight="1">
      <x:c r="A28" s="16" t="str">
        <x:v>R003</x:v>
      </x:c>
      <x:c r="B28" s="16" t="str">
        <x:v>版本</x:v>
      </x:c>
      <x:c r="C28" s="16" t="str">
        <x:v>复配文件</x:v>
      </x:c>
      <x:c r="D28" s="16" t="str">
        <x:v>只允许文件名含0110的纤维和纸张文件</x:v>
      </x:c>
      <x:c r="E28" s="38" t="str">
        <x:v>阻断</x:v>
      </x:c>
      <x:c r="F28" s="16" t="str">
        <x:v>版本=0110</x:v>
      </x:c>
      <x:c r="G28" s="16" t="str">
        <x:v>拒绝旧版</x:v>
      </x:c>
      <x:c r="H28" s="16" t="str">
        <x:v>已确定</x:v>
      </x:c>
    </x:row>
    <x:row r="29" ht="34" customHeight="1">
      <x:c r="A29" s="16" t="str">
        <x:v>R004</x:v>
      </x:c>
      <x:c r="B29" s="16" t="str">
        <x:v>工作表</x:v>
      </x:c>
      <x:c r="C29" s="16" t="str">
        <x:v>9份正式来源</x:v>
      </x:c>
      <x:c r="D29" s="16" t="str">
        <x:v>只处理有效Sheet1；核心文件的空白Sheet2/Sheet3忽略</x:v>
      </x:c>
      <x:c r="E29" s="38" t="str">
        <x:v>阻断</x:v>
      </x:c>
      <x:c r="F29" s="16" t="str">
        <x:v>9个有效工作表</x:v>
      </x:c>
      <x:c r="G29" s="16" t="str">
        <x:v>缺失Sheet1时终止</x:v>
      </x:c>
      <x:c r="H29" s="16" t="str">
        <x:v>已确定</x:v>
      </x:c>
    </x:row>
    <x:row r="30" ht="34" customHeight="1">
      <x:c r="A30" s="16" t="str">
        <x:v>R005</x:v>
      </x:c>
      <x:c r="B30" s="16" t="str">
        <x:v>样本</x:v>
      </x:c>
      <x:c r="C30" s="16" t="str">
        <x:v>sample.canonical_code</x:v>
      </x:c>
      <x:c r="D30" s="16" t="str">
        <x:v>标准样本代码全库唯一</x:v>
      </x:c>
      <x:c r="E30" s="38" t="str">
        <x:v>阻断</x:v>
      </x:c>
      <x:c r="F30" s="16" t="str">
        <x:v>61个且无重复</x:v>
      </x:c>
      <x:c r="G30" s="16" t="str">
        <x:v>定位来源行后重新映射</x:v>
      </x:c>
      <x:c r="H30" s="16" t="str">
        <x:v>已确定</x:v>
      </x:c>
    </x:row>
    <x:row r="31" ht="34" customHeight="1">
      <x:c r="A31" s="16" t="str">
        <x:v>R006</x:v>
      </x:c>
      <x:c r="B31" s="16" t="str">
        <x:v>样本</x:v>
      </x:c>
      <x:c r="C31" s="16" t="str">
        <x:v>复配端点</x:v>
      </x:c>
      <x:c r="D31" s="16" t="str">
        <x:v>zk010引用HW_R08000；zk100引用SW_R14000</x:v>
      </x:c>
      <x:c r="E31" s="38" t="str">
        <x:v>阻断</x:v>
      </x:c>
      <x:c r="F31" s="16" t="str">
        <x:v>复用2个纯浆样本</x:v>
      </x:c>
      <x:c r="G31" s="16" t="str">
        <x:v>禁止复制端点形成新样本</x:v>
      </x:c>
      <x:c r="H31" s="16" t="str">
        <x:v>已确定</x:v>
      </x:c>
    </x:row>
    <x:row r="32" ht="34" customHeight="1">
      <x:c r="A32" s="16" t="str">
        <x:v>R007</x:v>
      </x:c>
      <x:c r="B32" s="16" t="str">
        <x:v>展示点</x:v>
      </x:c>
      <x:c r="C32" s="16" t="str">
        <x:v>experiment_sample</x:v>
      </x:c>
      <x:c r="D32" s="16" t="str">
        <x:v>针叶木28点、阔叶木24点、复配11点</x:v>
      </x:c>
      <x:c r="E32" s="38" t="str">
        <x:v>阻断</x:v>
      </x:c>
      <x:c r="F32" s="16" t="str">
        <x:v>总数63</x:v>
      </x:c>
      <x:c r="G32" s="16" t="str">
        <x:v>检查编号和显示顺序</x:v>
      </x:c>
      <x:c r="H32" s="16" t="str">
        <x:v>已确定</x:v>
      </x:c>
    </x:row>
    <x:row r="33" ht="34" customHeight="1">
      <x:c r="A33" s="16" t="str">
        <x:v>R008</x:v>
      </x:c>
      <x:c r="B33" s="16" t="str">
        <x:v>组成</x:v>
      </x:c>
      <x:c r="C33" s="16" t="str">
        <x:v>sample_component.proportion_pct</x:v>
      </x:c>
      <x:c r="D33" s="16" t="str">
        <x:v>每个比例0至100%，同一样本合计100%</x:v>
      </x:c>
      <x:c r="E33" s="38" t="str">
        <x:v>阻断</x:v>
      </x:c>
      <x:c r="F33" s="16" t="str">
        <x:v>70条组分记录</x:v>
      </x:c>
      <x:c r="G33" s="16" t="str">
        <x:v>拒绝入库并回查原始行</x:v>
      </x:c>
      <x:c r="H33" s="16" t="str">
        <x:v>已确定</x:v>
      </x:c>
    </x:row>
    <x:row r="34" ht="34" customHeight="1">
      <x:c r="A34" s="16" t="str">
        <x:v>R009</x:v>
      </x:c>
      <x:c r="B34" s="16" t="str">
        <x:v>组成</x:v>
      </x:c>
      <x:c r="C34" s="16" t="str">
        <x:v>复配固定原料</x:v>
      </x:c>
      <x:c r="D34" s="16" t="str">
        <x:v>SW固定14000r/41°SR；HW固定8000r/40.6°SR</x:v>
      </x:c>
      <x:c r="E34" s="38" t="str">
        <x:v>阻断</x:v>
      </x:c>
      <x:c r="F34" s="16" t="str">
        <x:v>9个中间点均符合</x:v>
      </x:c>
      <x:c r="G34" s="16" t="str">
        <x:v>终止复配批次</x:v>
      </x:c>
      <x:c r="H34" s="16" t="str">
        <x:v>已确定</x:v>
      </x:c>
    </x:row>
    <x:row r="35" ht="34" customHeight="1">
      <x:c r="A35" s="16" t="str">
        <x:v>R010</x:v>
      </x:c>
      <x:c r="B35" s="16" t="str">
        <x:v>测量</x:v>
      </x:c>
      <x:c r="C35" s="16" t="str">
        <x:v>fiber_measurement</x:v>
      </x:c>
      <x:c r="D35" s="16" t="str">
        <x:v>每个sample_id最多一条纤维记录</x:v>
      </x:c>
      <x:c r="E35" s="38" t="str">
        <x:v>阻断</x:v>
      </x:c>
      <x:c r="F35" s="16" t="str">
        <x:v>61条</x:v>
      </x:c>
      <x:c r="G35" s="16" t="str">
        <x:v>端点只核对不插入</x:v>
      </x:c>
      <x:c r="H35" s="16" t="str">
        <x:v>已确定</x:v>
      </x:c>
    </x:row>
    <x:row r="36" ht="34" customHeight="1">
      <x:c r="A36" s="16" t="str">
        <x:v>R011</x:v>
      </x:c>
      <x:c r="B36" s="16" t="str">
        <x:v>测量</x:v>
      </x:c>
      <x:c r="C36" s="16" t="str">
        <x:v>paper_measurement</x:v>
      </x:c>
      <x:c r="D36" s="16" t="str">
        <x:v>每个sample_id最多一条纸张记录</x:v>
      </x:c>
      <x:c r="E36" s="38" t="str">
        <x:v>阻断</x:v>
      </x:c>
      <x:c r="F36" s="16" t="str">
        <x:v>61条</x:v>
      </x:c>
      <x:c r="G36" s="16" t="str">
        <x:v>端点只核对不插入</x:v>
      </x:c>
      <x:c r="H36" s="16" t="str">
        <x:v>已确定</x:v>
      </x:c>
    </x:row>
    <x:row r="37" ht="34" customHeight="1">
      <x:c r="A37" s="16" t="str">
        <x:v>R012</x:v>
      </x:c>
      <x:c r="B37" s="16" t="str">
        <x:v>字段</x:v>
      </x:c>
      <x:c r="C37" s="16" t="str">
        <x:v>12项纤维特性</x:v>
      </x:c>
      <x:c r="D37" s="16" t="str">
        <x:v>全部保留，不在入库阶段筛选变量</x:v>
      </x:c>
      <x:c r="E37" s="38" t="str">
        <x:v>阻断</x:v>
      </x:c>
      <x:c r="F37" s="16" t="str">
        <x:v>12项均有映射</x:v>
      </x:c>
      <x:c r="G37" s="16" t="str">
        <x:v>缺列时终止对应文件</x:v>
      </x:c>
      <x:c r="H37" s="16" t="str">
        <x:v>已确定</x:v>
      </x:c>
    </x:row>
    <x:row r="38" ht="34" customHeight="1">
      <x:c r="A38" s="16" t="str">
        <x:v>R013</x:v>
      </x:c>
      <x:c r="B38" s="16" t="str">
        <x:v>字段</x:v>
      </x:c>
      <x:c r="C38" s="16" t="str">
        <x:v>9项纸张性能</x:v>
      </x:c>
      <x:c r="D38" s="16" t="str">
        <x:v>全部保留，不在入库阶段筛选变量</x:v>
      </x:c>
      <x:c r="E38" s="38" t="str">
        <x:v>阻断</x:v>
      </x:c>
      <x:c r="F38" s="16" t="str">
        <x:v>9项均有映射</x:v>
      </x:c>
      <x:c r="G38" s="16" t="str">
        <x:v>缺列时终止对应文件</x:v>
      </x:c>
      <x:c r="H38" s="16" t="str">
        <x:v>已确定</x:v>
      </x:c>
    </x:row>
    <x:row r="39" ht="34" customHeight="1">
      <x:c r="A39" s="16" t="str">
        <x:v>R014</x:v>
      </x:c>
      <x:c r="B39" s="16" t="str">
        <x:v>空值</x:v>
      </x:c>
      <x:c r="C39" s="16" t="str">
        <x:v>核心测量字段</x:v>
      </x:c>
      <x:c r="D39" s="16" t="str">
        <x:v>空白、—和/统一转为NULL，禁止转为0</x:v>
      </x:c>
      <x:c r="E39" s="40" t="str">
        <x:v>警告</x:v>
      </x:c>
      <x:c r="F39" s="16" t="str">
        <x:v>NULL可追溯</x:v>
      </x:c>
      <x:c r="G39" s="16" t="str">
        <x:v>记录质量告警</x:v>
      </x:c>
      <x:c r="H39" s="16" t="str">
        <x:v>已确定</x:v>
      </x:c>
    </x:row>
    <x:row r="40" ht="34" customHeight="1">
      <x:c r="A40" s="16" t="str">
        <x:v>R015</x:v>
      </x:c>
      <x:c r="B40" s="16" t="str">
        <x:v>数值</x:v>
      </x:c>
      <x:c r="C40" s="16" t="str">
        <x:v>数值型字段</x:v>
      </x:c>
      <x:c r="D40" s="16" t="str">
        <x:v>去除表头单位后转换；原始单元格必须为数值或可识别空值</x:v>
      </x:c>
      <x:c r="E40" s="38" t="str">
        <x:v>阻断</x:v>
      </x:c>
      <x:c r="F40" s="16" t="str">
        <x:v>无非法文本</x:v>
      </x:c>
      <x:c r="G40" s="16" t="str">
        <x:v>终止该行所属批次</x:v>
      </x:c>
      <x:c r="H40" s="16" t="str">
        <x:v>已确定</x:v>
      </x:c>
    </x:row>
    <x:row r="41" ht="34" customHeight="1">
      <x:c r="A41" s="16" t="str">
        <x:v>R016</x:v>
      </x:c>
      <x:c r="B41" s="16" t="str">
        <x:v>单位</x:v>
      </x:c>
      <x:c r="C41" s="16" t="str">
        <x:v>air_permeability</x:v>
      </x:c>
      <x:c r="D41" s="16" t="str">
        <x:v>数据库暂按μm/(Pa·s)记录，源表未标注单位</x:v>
      </x:c>
      <x:c r="E41" s="40" t="str">
        <x:v>警告</x:v>
      </x:c>
      <x:c r="F41" s="16" t="str">
        <x:v>数值原样保留</x:v>
      </x:c>
      <x:c r="G41" s="16" t="str">
        <x:v>待仪器或实验记录复核后更新字典</x:v>
      </x:c>
      <x:c r="H41" s="40" t="str">
        <x:v>待确认</x:v>
      </x:c>
    </x:row>
    <x:row r="42" ht="34" customHeight="1">
      <x:c r="A42" s="16" t="str">
        <x:v>R017</x:v>
      </x:c>
      <x:c r="B42" s="16" t="str">
        <x:v>单位</x:v>
      </x:c>
      <x:c r="C42" s="16" t="str">
        <x:v>folding_endurance_raw</x:v>
      </x:c>
      <x:c r="D42" s="16" t="str">
        <x:v>耐折度单位不推断，字段名明确标记raw</x:v>
      </x:c>
      <x:c r="E42" s="40" t="str">
        <x:v>警告</x:v>
      </x:c>
      <x:c r="F42" s="16" t="str">
        <x:v>原始值不变</x:v>
      </x:c>
      <x:c r="G42" s="16" t="str">
        <x:v>确认单位后仅更新元数据</x:v>
      </x:c>
      <x:c r="H42" s="40" t="str">
        <x:v>待确认</x:v>
      </x:c>
    </x:row>
    <x:row r="43">
      <x:c r="A43" t="str">
        <x:v>R018</x:v>
      </x:c>
      <x:c r="B43" t="str">
        <x:v>聚合</x:v>
      </x:c>
      <x:c r="C43" t="str">
        <x:v>paper_measurement</x:v>
      </x:c>
      <x:c r="D43" t="str">
        <x:v>纸张性能保存剔除偏差值后的最终均值</x:v>
      </x:c>
      <x:c r="E43" s="32" t="str">
        <x:v>阻断</x:v>
      </x:c>
      <x:c r="F43" t="str">
        <x:v>replicate_count=3</x:v>
      </x:c>
      <x:c r="G43" t="str">
        <x:v>规则不符时不得导入</x:v>
      </x:c>
      <x:c r="H43" t="str">
        <x:v>已确定</x:v>
      </x:c>
    </x:row>
    <x:row r="44">
      <x:c r="A44" t="str">
        <x:v>R019</x:v>
      </x:c>
      <x:c r="B44" t="str">
        <x:v>追溯</x:v>
      </x:c>
      <x:c r="C44" t="str">
        <x:v>正式数据</x:v>
      </x:c>
      <x:c r="D44" t="str">
        <x:v>核心数据可定位文件、工作表和原始行；扩展数据另存文件散列、块范围和逐行source_row</x:v>
      </x:c>
      <x:c r="E44" s="32" t="str">
        <x:v>阻断</x:v>
      </x:c>
      <x:c r="F44" t="str">
        <x:v>两条追溯链完整</x:v>
      </x:c>
      <x:c r="G44" t="str">
        <x:v>缺少来源的记录不得验收</x:v>
      </x:c>
      <x:c r="H44" t="str">
        <x:v>已确定</x:v>
      </x:c>
    </x:row>
    <x:row r="45">
      <x:c r="A45" t="str">
        <x:v>R020</x:v>
      </x:c>
      <x:c r="B45" t="str">
        <x:v>事务</x:v>
      </x:c>
      <x:c r="C45" t="str">
        <x:v>单批导入</x:v>
      </x:c>
      <x:c r="D45" t="str">
        <x:v>先校验后写入；任一阻断规则失败则整批回滚</x:v>
      </x:c>
      <x:c r="E45" s="32" t="str">
        <x:v>阻断</x:v>
      </x:c>
      <x:c r="F45" t="str">
        <x:v>无半批数据</x:v>
      </x:c>
      <x:c r="G45" t="str">
        <x:v>回滚并输出错误清单</x:v>
      </x:c>
      <x:c r="H45" t="str">
        <x:v>已确定</x:v>
      </x:c>
    </x:row>
    <x:row r="46">
      <x:c r="A46" t="str">
        <x:v>R021</x:v>
      </x:c>
      <x:c r="B46" t="str">
        <x:v>权限</x:v>
      </x:c>
      <x:c r="C46" t="str">
        <x:v>可视化平台</x:v>
      </x:c>
      <x:c r="D46" t="str">
        <x:v>平台账号只读查询8个视图，不直接修改正式表</x:v>
      </x:c>
      <x:c r="E46" s="32" t="str">
        <x:v>阻断</x:v>
      </x:c>
      <x:c r="F46" t="str">
        <x:v>仅SELECT权限</x:v>
      </x:c>
      <x:c r="G46" t="str">
        <x:v>撤销多余权限</x:v>
      </x:c>
      <x:c r="H46" t="str">
        <x:v>已确定</x:v>
      </x:c>
    </x:row>
    <x:row r="47">
      <x:c r="A47" t="str">
        <x:v>R022</x:v>
      </x:c>
      <x:c r="B47" t="str">
        <x:v>交付</x:v>
      </x:c>
      <x:c r="C47" t="str">
        <x:v>备份恢复</x:v>
      </x:c>
      <x:c r="D47" t="str">
        <x:v>备份必须在空环境恢复并复核11张表、8个视图和核心数量</x:v>
      </x:c>
      <x:c r="E47" s="32" t="str">
        <x:v>阻断</x:v>
      </x:c>
      <x:c r="F47" t="str">
        <x:v>恢复结果与验收库一致</x:v>
      </x:c>
      <x:c r="G47" t="str">
        <x:v>未通过恢复验证不得交付</x:v>
      </x:c>
      <x:c r="H47" t="str">
        <x:v>已确定</x:v>
      </x:c>
    </x:row>
    <x:row r="48">
      <x:c r="A48" t="str">
        <x:v>R023</x:v>
      </x:c>
      <x:c r="B48" t="str">
        <x:v>来源</x:v>
      </x:c>
      <x:c r="C48" t="str">
        <x:v>汇总工作簿SHA-256</x:v>
      </x:c>
      <x:c r="D48" t="str">
        <x:v>必须等于已确认的1299ff1c…217e97</x:v>
      </x:c>
      <x:c r="E48" s="32" t="str">
        <x:v>阻断</x:v>
      </x:c>
      <x:c r="F48" t="str">
        <x:v>散列完全一致</x:v>
      </x:c>
      <x:c r="G48" t="str">
        <x:v>散列不一致时终止扩展批次</x:v>
      </x:c>
      <x:c r="H48" t="str">
        <x:v>已确定</x:v>
      </x:c>
    </x:row>
    <x:row r="49">
      <x:c r="A49" t="str">
        <x:v>R024</x:v>
      </x:c>
      <x:c r="B49" t="str">
        <x:v>结构</x:v>
      </x:c>
      <x:c r="C49" t="str">
        <x:v>recycled_data_block</x:v>
      </x:c>
      <x:c r="D49" t="str">
        <x:v>按源表连续区域生成G01-G14，不把编号解释为处理条件</x:v>
      </x:c>
      <x:c r="E49" s="32" t="str">
        <x:v>阻断</x:v>
      </x:c>
      <x:c r="F49" t="str">
        <x:v>14个且顺序唯一</x:v>
      </x:c>
      <x:c r="G49" t="str">
        <x:v>重新检查数据块边界</x:v>
      </x:c>
      <x:c r="H49" t="str">
        <x:v>已确定</x:v>
      </x:c>
    </x:row>
    <x:row r="50">
      <x:c r="A50" t="str">
        <x:v>R025</x:v>
      </x:c>
      <x:c r="B50" t="str">
        <x:v>元数据</x:v>
      </x:c>
      <x:c r="C50" t="str">
        <x:v>raw_material_grade</x:v>
      </x:c>
      <x:c r="D50" t="str">
        <x:v>13个数据块记录美废12#，G11记录美废13#，并保存判定依据</x:v>
      </x:c>
      <x:c r="E50" s="32" t="str">
        <x:v>阻断</x:v>
      </x:c>
      <x:c r="F50" t="str">
        <x:v>13+1</x:v>
      </x:c>
      <x:c r="G50" t="str">
        <x:v>复核批注、填色和项目说明</x:v>
      </x:c>
      <x:c r="H50" t="str">
        <x:v>已确定</x:v>
      </x:c>
    </x:row>
    <x:row r="51">
      <x:c r="A51" t="str">
        <x:v>R026</x:v>
      </x:c>
      <x:c r="B51" t="str">
        <x:v>观测</x:v>
      </x:c>
      <x:c r="C51" t="str">
        <x:v>recycled_cycle_observation</x:v>
      </x:c>
      <x:c r="D51" t="str">
        <x:v>26个源列均为数值；循环、重复和源行有效且唯一</x:v>
      </x:c>
      <x:c r="E51" s="32" t="str">
        <x:v>阻断</x:v>
      </x:c>
      <x:c r="F51" t="str">
        <x:v>131条完整观测</x:v>
      </x:c>
      <x:c r="G51" t="str">
        <x:v>终止扩展数据批次</x:v>
      </x:c>
      <x:c r="H51" t="str">
        <x:v>已确定</x:v>
      </x:c>
    </x:row>
    <x:row r="52">
      <x:c r="A52" t="str">
        <x:v>R027</x:v>
      </x:c>
      <x:c r="B52" t="str">
        <x:v>汇总</x:v>
      </x:c>
      <x:c r="C52" t="str">
        <x:v>v_recycled_cycle_summary</x:v>
      </x:c>
      <x:c r="D52" t="str">
        <x:v>按数据块和循环分组计算均值，不覆盖原始观测</x:v>
      </x:c>
      <x:c r="E52" s="32" t="str">
        <x:v>阻断</x:v>
      </x:c>
      <x:c r="F52" t="str">
        <x:v>47个汇总点</x:v>
      </x:c>
      <x:c r="G52" t="str">
        <x:v>检查分组键和观测数量</x:v>
      </x:c>
      <x:c r="H52" t="str">
        <x:v>已确定</x:v>
      </x:c>
    </x:row>
    <x:row r="53">
      <x:c r="A53" t="str">
        <x:v>R028</x:v>
      </x:c>
      <x:c r="B53" t="str">
        <x:v>质量</x:v>
      </x:c>
      <x:c r="C53" t="str">
        <x:v>长度分布合计</x:v>
      </x:c>
      <x:c r="D53" t="str">
        <x:v>偏离100%超过1个百分点的原值保留并进入质量视图，不自动归一化</x:v>
      </x:c>
      <x:c r="E53" s="42" t="str">
        <x:v>警告</x:v>
      </x:c>
      <x:c r="F53" t="str">
        <x:v>4条复核记录</x:v>
      </x:c>
      <x:c r="G53" t="str">
        <x:v>保留原值并提示复核</x:v>
      </x:c>
      <x:c r="H53" t="str">
        <x:v>已确定</x:v>
      </x:c>
    </x:row>
    <x:row r="54">
      <x:c r="A54" t="str">
        <x:v>R029</x:v>
      </x:c>
      <x:c r="B54" t="str">
        <x:v>语义</x:v>
      </x:c>
      <x:c r="C54" t="str">
        <x:v>3项纸张指标</x:v>
      </x:c>
      <x:c r="D54" t="str">
        <x:v>保存抗张强度、耐破强度、撕裂强度，不与核心表的指数混用</x:v>
      </x:c>
      <x:c r="E54" s="32" t="str">
        <x:v>阻断</x:v>
      </x:c>
      <x:c r="F54" t="str">
        <x:v>字段与单位明确</x:v>
      </x:c>
      <x:c r="G54" t="str">
        <x:v>发现混用时终止导入</x:v>
      </x:c>
      <x:c r="H54" t="str">
        <x:v>已确定</x:v>
      </x:c>
    </x:row>
    <x:row r="55">
      <x:c r="A55" t="str">
        <x:v>R030</x:v>
      </x:c>
      <x:c r="B55" t="str">
        <x:v>元数据</x:v>
      </x:c>
      <x:c r="C55" t="str">
        <x:v>condition_label</x:v>
      </x:c>
      <x:c r="D55" t="str">
        <x:v>正式处理条件未知时保持NULL，metadata_status保持unknown</x:v>
      </x:c>
      <x:c r="E55" s="42" t="str">
        <x:v>警告</x:v>
      </x:c>
      <x:c r="F55" t="str">
        <x:v>14块均为NULL/unknown</x:v>
      </x:c>
      <x:c r="G55" t="str">
        <x:v>获得可靠实验记录后补充</x:v>
      </x:c>
      <x:c r="H55" s="42" t="str">
        <x:v>待补充</x:v>
      </x:c>
    </x:row>
  </x:sheetData>
  <x:mergeCells>
    <x:mergeCell ref="A1:H1"/>
    <x:mergeCell ref="A2:H2"/>
    <x:mergeCell ref="A4:H4"/>
  </x:mergeCells>
  <x:conditionalFormatting sqref="E21:E42">
    <x:cfRule type="containsText" dxfId="7" priority="1" operator="containsText" text="阻断"/>
    <x:cfRule type="containsText" dxfId="8" priority="2" operator="containsText" text="警告"/>
  </x:conditionalFormatting>
  <x:conditionalFormatting sqref="H21:H42">
    <x:cfRule type="containsText" dxfId="9" priority="3" operator="containsText" text="待确认"/>
  </x:conditionalFormatting>
  <x:pageMargins left="0.7" right="0.7" top="0.75" bottom="0.75" header="0.3" footer="0.3"/>
  <x:tableParts count="2">
    <x:tablePart xmlns:r="http://schemas.openxmlformats.org/officeDocument/2006/relationships" r:id="Ra80709727e14496a"/>
    <x:tablePart xmlns:r="http://schemas.openxmlformats.org/officeDocument/2006/relationships" r:id="R625e0c641f6941b6"/>
  </x:tableParts>
</x:worksheet>
</file>