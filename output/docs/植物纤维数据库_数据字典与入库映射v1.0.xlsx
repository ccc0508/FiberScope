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8c7fc77b2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数据表目录" sheetId="1" r:id="Reada06e0569b49b0"/>
    <x:sheet xmlns:r="http://schemas.openxmlformats.org/officeDocument/2006/relationships" name="02_字段数据字典" sheetId="2" r:id="R4d280f3c2a3b46b9"/>
    <x:sheet xmlns:r="http://schemas.openxmlformats.org/officeDocument/2006/relationships" name="03_入库映射" sheetId="3" r:id="R16a33c7b77334533"/>
    <x:sheet xmlns:r="http://schemas.openxmlformats.org/officeDocument/2006/relationships" name="04_规则与验收" sheetId="4" r:id="R61494c7b2f8f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7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4E78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40c64920f4736" /><Relationship Type="http://schemas.openxmlformats.org/officeDocument/2006/relationships/theme" Target="/xl/theme/theme1.xml" Id="R83767089ae784231" /><Relationship Type="http://schemas.openxmlformats.org/officeDocument/2006/relationships/sharedStrings" Target="/xl/sharedStrings.xml" Id="Re5b25b5acdca4c66" /><Relationship Type="http://schemas.openxmlformats.org/officeDocument/2006/relationships/worksheet" Target="/xl/worksheets/sheet1.xml" Id="Reada06e0569b49b0" /><Relationship Type="http://schemas.openxmlformats.org/officeDocument/2006/relationships/worksheet" Target="/xl/worksheets/sheet2.xml" Id="R4d280f3c2a3b46b9" /><Relationship Type="http://schemas.openxmlformats.org/officeDocument/2006/relationships/worksheet" Target="/xl/worksheets/sheet3.xml" Id="R16a33c7b77334533" /><Relationship Type="http://schemas.openxmlformats.org/officeDocument/2006/relationships/worksheet" Target="/xl/worksheets/sheet4.xml" Id="R61494c7b2f8f4b59" /></Relationships>
</file>

<file path=xl/tables/table1.xml><?xml version="1.0" encoding="utf-8"?>
<x:table xmlns:x="http://schemas.openxmlformats.org/spreadsheetml/2006/main" id="1" name="TableCatalog" displayName="TableCatalog" ref="A5:H13" headerRowCount="1" totalsRowCount="0" totalsRowShown="0">
  <x:autoFilter ref="A5:H13"/>
  <x:tableColumns count="8">
    <x:tableColumn id="1" name="序号"/>
    <x:tableColumn id="2" name="表名"/>
    <x:tableColumn id="3" name="中文名称"/>
    <x:tableColumn id="4" name="主要作用"/>
    <x:tableColumn id="5" name="数据粒度"/>
    <x:tableColumn id="6" name="主键"/>
    <x:tableColumn id="7" name="预计记录数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ventory" displayName="SourceInventory" ref="A17:H28" headerRowCount="1" totalsRowCount="0" totalsRowShown="0">
  <x:autoFilter ref="A17:H28"/>
  <x:tableColumns count="8">
    <x:tableColumn id="1" name="序号"/>
    <x:tableColumn id="2" name="文件名"/>
    <x:tableColumn id="3" name="数据内容"/>
    <x:tableColumn id="4" name="版本"/>
    <x:tableColumn id="5" name="有效工作表"/>
    <x:tableColumn id="6" name="数据行数"/>
    <x:tableColumn id="7" name="目标表"/>
    <x:tableColumn id="8" name="处理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4:L60" headerRowCount="1" totalsRowCount="0" totalsRowShown="0">
  <x:autoFilter ref="A4:L60"/>
  <x:tableColumns count="12">
    <x:tableColumn id="1" name="序号"/>
    <x:tableColumn id="2" name="表名"/>
    <x:tableColumn id="3" name="字段名"/>
    <x:tableColumn id="4" name="中文名称"/>
    <x:tableColumn id="5" name="PostgreSQL类型"/>
    <x:tableColumn id="6" name="键/索引"/>
    <x:tableColumn id="7" name="可为空"/>
    <x:tableColumn id="8" name="单位"/>
    <x:tableColumn id="9" name="单位状态"/>
    <x:tableColumn id="10" name="取值或约束"/>
    <x:tableColumn id="11" name="默认值"/>
    <x:tableColumn id="12" name="字段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Mapping" displayName="ImportMapping" ref="A4:P180" headerRowCount="1" totalsRowCount="0" totalsRowShown="0">
  <x:autoFilter ref="A4:P180"/>
  <x:tableColumns count="16">
    <x:tableColumn id="1" name="映射ID"/>
    <x:tableColumn id="2" name="来源文件"/>
    <x:tableColumn id="3" name="版本"/>
    <x:tableColumn id="4" name="工作表"/>
    <x:tableColumn id="5" name="原始列序号"/>
    <x:tableColumn id="6" name="原始列名"/>
    <x:tableColumn id="7" name="原始单位"/>
    <x:tableColumn id="8" name="映射类别"/>
    <x:tableColumn id="9" name="目标表"/>
    <x:tableColumn id="10" name="目标字段"/>
    <x:tableColumn id="11" name="转换或生成规则"/>
    <x:tableColumn id="12" name="空值处理"/>
    <x:tableColumn id="13" name="校验规则"/>
    <x:tableColumn id="14" name="重复或冲突处理"/>
    <x:tableColumn id="15" name="是否导入"/>
    <x:tableColumn id="16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Baseline" displayName="AcceptanceBaseline" ref="A5:C16" headerRowCount="1" totalsRowCount="0" totalsRowShown="0">
  <x:autoFilter ref="A5:C16"/>
  <x:tableColumns count="3">
    <x:tableColumn id="1" name="基线项目"/>
    <x:tableColumn id="2" name="预计数量"/>
    <x:tableColumn id="3" name="计算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Rules" displayName="QualityRules" ref="A20:H42" headerRowCount="1" totalsRowCount="0" totalsRowShown="0">
  <x:autoFilter ref="A20:H42"/>
  <x:tableColumns count="8">
    <x:tableColumn id="1" name="规则ID"/>
    <x:tableColumn id="2" name="类别"/>
    <x:tableColumn id="3" name="检查对象"/>
    <x:tableColumn id="4" name="正式规则"/>
    <x:tableColumn id="5" name="级别"/>
    <x:tableColumn id="6" name="预期结果"/>
    <x:tableColumn id="7" name="失败处理"/>
    <x:tableColumn id="8" name="规则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3633a62c62480e" /><Relationship Type="http://schemas.openxmlformats.org/officeDocument/2006/relationships/table" Target="/xl/tables/table2.xml" Id="Ra73d077de1b84a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a9b7f86fcc74c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ed7f18335bd4b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c4f535631144af4" /><Relationship Type="http://schemas.openxmlformats.org/officeDocument/2006/relationships/table" Target="/xl/tables/table6.xml" Id="R81e9310e14024f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20" hidden="0" customWidth="1"/>
    <x:col min="4" max="4" width="12" hidden="0" customWidth="1"/>
    <x:col min="5" max="5" width="14" hidden="0" customWidth="1"/>
    <x:col min="6" max="6" width="12" hidden="0" customWidth="1"/>
    <x:col min="7" max="7" width="38" hidden="0" customWidth="1"/>
    <x:col min="8" max="8" width="15" hidden="0" customWidth="1"/>
  </x:cols>
  <x:sheetData>
    <x:row r="1" ht="32" customHeight="1">
      <x:c r="A1" s="3" t="str">
        <x:v>植物纤维数据库｜数据表目录与来源基线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版本 v1.0｜PostgreSQL 18.x｜数据库 plant_fiber_db｜Schema fiber｜生成日期 2026-08-01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一、8张核心业务表</x:v>
      </x:c>
      <x:c r="B4" s="9"/>
      <x:c r="C4" s="9"/>
      <x:c r="D4" s="9"/>
      <x:c r="E4" s="9"/>
      <x:c r="F4" s="9"/>
      <x:c r="G4" s="9"/>
      <x:c r="H4" s="9"/>
    </x:row>
    <x:row r="5" ht="30" customHeight="1">
      <x:c r="A5" s="21" t="str">
        <x:v>序号</x:v>
      </x:c>
      <x:c r="B5" s="21" t="str">
        <x:v>表名</x:v>
      </x:c>
      <x:c r="C5" s="21" t="str">
        <x:v>中文名称</x:v>
      </x:c>
      <x:c r="D5" s="21" t="str">
        <x:v>主要作用</x:v>
      </x:c>
      <x:c r="E5" s="21" t="str">
        <x:v>数据粒度</x:v>
      </x:c>
      <x:c r="F5" s="21" t="str">
        <x:v>主键</x:v>
      </x:c>
      <x:c r="G5" s="21" t="str">
        <x:v>预计记录数</x:v>
      </x:c>
      <x:c r="H5" s="21" t="str">
        <x:v>备注</x:v>
      </x:c>
    </x:row>
    <x:row r="6" ht="34" customHeight="1">
      <x:c r="A6" s="16" t="n">
        <x:v>1</x:v>
      </x:c>
      <x:c r="B6" s="16" t="str">
        <x:v>material</x:v>
      </x:c>
      <x:c r="C6" s="16" t="str">
        <x:v>基础原料表</x:v>
      </x:c>
      <x:c r="D6" s="16" t="str">
        <x:v>保存漂白针叶木浆和漂白阔叶木浆</x:v>
      </x:c>
      <x:c r="E6" s="16" t="str">
        <x:v>每行一种基础原料</x:v>
      </x:c>
      <x:c r="F6" s="22" t="str">
        <x:v>material_id</x:v>
      </x:c>
      <x:c r="G6" s="16" t="n">
        <x:v>2</x:v>
      </x:c>
      <x:c r="H6" s="16" t="str">
        <x:v>代码固定为SW、HW</x:v>
      </x:c>
    </x:row>
    <x:row r="7" ht="34" customHeight="1">
      <x:c r="A7" s="16" t="n">
        <x:v>2</x:v>
      </x:c>
      <x:c r="B7" s="16" t="str">
        <x:v>experiment</x:v>
      </x:c>
      <x:c r="C7" s="16" t="str">
        <x:v>实验表</x:v>
      </x:c>
      <x:c r="D7" s="16" t="str">
        <x:v>定义针叶木打浆、阔叶木打浆和针阔复配实验</x:v>
      </x:c>
      <x:c r="E7" s="16" t="str">
        <x:v>每行一个实验</x:v>
      </x:c>
      <x:c r="F7" s="22" t="str">
        <x:v>experiment_id</x:v>
      </x:c>
      <x:c r="G7" s="16" t="n">
        <x:v>3</x:v>
      </x:c>
      <x:c r="H7" s="16" t="str">
        <x:v>实验代码全局唯一</x:v>
      </x:c>
    </x:row>
    <x:row r="8" ht="34" customHeight="1">
      <x:c r="A8" s="16" t="n">
        <x:v>3</x:v>
      </x:c>
      <x:c r="B8" s="16" t="str">
        <x:v>sample</x:v>
      </x:c>
      <x:c r="C8" s="16" t="str">
        <x:v>唯一样本表</x:v>
      </x:c>
      <x:c r="D8" s="16" t="str">
        <x:v>保存纯浆和复配样本的全局身份</x:v>
      </x:c>
      <x:c r="E8" s="16" t="str">
        <x:v>每行一个唯一样本</x:v>
      </x:c>
      <x:c r="F8" s="22" t="str">
        <x:v>sample_id</x:v>
      </x:c>
      <x:c r="G8" s="16" t="n">
        <x:v>61</x:v>
      </x:c>
      <x:c r="H8" s="16" t="str">
        <x:v>复配端点复用纯浆样本</x:v>
      </x:c>
    </x:row>
    <x:row r="9" ht="34" customHeight="1">
      <x:c r="A9" s="16" t="n">
        <x:v>4</x:v>
      </x:c>
      <x:c r="B9" s="16" t="str">
        <x:v>experiment_sample</x:v>
      </x:c>
      <x:c r="C9" s="16" t="str">
        <x:v>实验展示点表</x:v>
      </x:c>
      <x:c r="D9" s="16" t="str">
        <x:v>记录样本在各实验中的编号、顺序和来源</x:v>
      </x:c>
      <x:c r="E9" s="16" t="str">
        <x:v>每行一个实验展示点</x:v>
      </x:c>
      <x:c r="F9" s="22" t="str">
        <x:v>experiment_id + sample_id</x:v>
      </x:c>
      <x:c r="G9" s="16" t="n">
        <x:v>63</x:v>
      </x:c>
      <x:c r="H9" s="16" t="str">
        <x:v>28个针叶木点、24个阔叶木点、11个复配点</x:v>
      </x:c>
    </x:row>
    <x:row r="10" ht="34" customHeight="1">
      <x:c r="A10" s="16" t="n">
        <x:v>5</x:v>
      </x:c>
      <x:c r="B10" s="16" t="str">
        <x:v>sample_component</x:v>
      </x:c>
      <x:c r="C10" s="16" t="str">
        <x:v>样本组成表</x:v>
      </x:c>
      <x:c r="D10" s="16" t="str">
        <x:v>保存原料比例、打浆转数和打浆度</x:v>
      </x:c>
      <x:c r="E10" s="16" t="str">
        <x:v>每行一个样本组分</x:v>
      </x:c>
      <x:c r="F10" s="22" t="str">
        <x:v>sample_id + material_id</x:v>
      </x:c>
      <x:c r="G10" s="16" t="n">
        <x:v>70</x:v>
      </x:c>
      <x:c r="H10" s="16" t="str">
        <x:v>52个纯浆组分、9个复配样本各2个组分</x:v>
      </x:c>
    </x:row>
    <x:row r="11" ht="34" customHeight="1">
      <x:c r="A11" s="16" t="n">
        <x:v>6</x:v>
      </x:c>
      <x:c r="B11" s="16" t="str">
        <x:v>fiber_measurement</x:v>
      </x:c>
      <x:c r="C11" s="16" t="str">
        <x:v>纤维特性表</x:v>
      </x:c>
      <x:c r="D11" s="16" t="str">
        <x:v>保存全部12项纤维特性</x:v>
      </x:c>
      <x:c r="E11" s="16" t="str">
        <x:v>每行一个样本的最终测量记录</x:v>
      </x:c>
      <x:c r="F11" s="22" t="str">
        <x:v>sample_id</x:v>
      </x:c>
      <x:c r="G11" s="16" t="n">
        <x:v>61</x:v>
      </x:c>
      <x:c r="H11" s="16" t="str">
        <x:v>复配端点只核对，不重复插入</x:v>
      </x:c>
    </x:row>
    <x:row r="12" ht="34" customHeight="1">
      <x:c r="A12" s="16" t="n">
        <x:v>7</x:v>
      </x:c>
      <x:c r="B12" s="16" t="str">
        <x:v>paper_measurement</x:v>
      </x:c>
      <x:c r="C12" s="16" t="str">
        <x:v>纸张性能表</x:v>
      </x:c>
      <x:c r="D12" s="16" t="str">
        <x:v>保存全部9项纸张性能及聚合方式</x:v>
      </x:c>
      <x:c r="E12" s="16" t="str">
        <x:v>每行一个样本的最终均值</x:v>
      </x:c>
      <x:c r="F12" s="22" t="str">
        <x:v>sample_id</x:v>
      </x:c>
      <x:c r="G12" s="16" t="n">
        <x:v>61</x:v>
      </x:c>
      <x:c r="H12" s="16" t="str">
        <x:v>replicate_count固定为3</x:v>
      </x:c>
    </x:row>
    <x:row r="13" ht="34" customHeight="1">
      <x:c r="A13" s="16" t="n">
        <x:v>8</x:v>
      </x:c>
      <x:c r="B13" s="16" t="str">
        <x:v>data_source</x:v>
      </x:c>
      <x:c r="C13" s="16" t="str">
        <x:v>数据来源表</x:v>
      </x:c>
      <x:c r="D13" s="16" t="str">
        <x:v>保存文件、工作表、原始行和版本信息</x:v>
      </x:c>
      <x:c r="E13" s="16" t="str">
        <x:v>每行一个正式来源数据行</x:v>
      </x:c>
      <x:c r="F13" s="22" t="str">
        <x:v>source_id</x:v>
      </x:c>
      <x:c r="G13" s="16" t="n">
        <x:v>178</x:v>
      </x:c>
      <x:c r="H13" s="16" t="str">
        <x:v>包含复配端点校验行</x:v>
      </x:c>
    </x:row>
    <x:row r="16" ht="24" customHeight="1">
      <x:c r="A16" s="9" t="str">
        <x:v>二、来源文件基线（8份正式来源，3份明确排除）</x:v>
      </x:c>
      <x:c r="B16" s="9"/>
      <x:c r="C16" s="9"/>
      <x:c r="D16" s="9"/>
      <x:c r="E16" s="9"/>
      <x:c r="F16" s="9"/>
      <x:c r="G16" s="9"/>
      <x:c r="H16" s="9"/>
    </x:row>
    <x:row r="17" ht="30" customHeight="1">
      <x:c r="A17" s="21" t="str">
        <x:v>序号</x:v>
      </x:c>
      <x:c r="B17" s="21" t="str">
        <x:v>文件名</x:v>
      </x:c>
      <x:c r="C17" s="21" t="str">
        <x:v>数据内容</x:v>
      </x:c>
      <x:c r="D17" s="21" t="str">
        <x:v>版本</x:v>
      </x:c>
      <x:c r="E17" s="21" t="str">
        <x:v>有效工作表</x:v>
      </x:c>
      <x:c r="F17" s="21" t="str">
        <x:v>数据行数</x:v>
      </x:c>
      <x:c r="G17" s="21" t="str">
        <x:v>目标表</x:v>
      </x:c>
      <x:c r="H17" s="21" t="str">
        <x:v>处理状态</x:v>
      </x:c>
    </x:row>
    <x:row r="18" ht="34" customHeight="1">
      <x:c r="A18" s="16" t="n">
        <x:v>1</x:v>
      </x:c>
      <x:c r="B18" s="16" t="str">
        <x:v>针叶木-打浆转数-打浆度(1).xlsx</x:v>
      </x:c>
      <x:c r="C18" s="16" t="str">
        <x:v>针叶木打浆度</x:v>
      </x:c>
      <x:c r="D18" s="16" t="str">
        <x:v>原始版</x:v>
      </x:c>
      <x:c r="E18" s="16" t="str">
        <x:v>Sheet1</x:v>
      </x:c>
      <x:c r="F18" s="22" t="n">
        <x:v>28</x:v>
      </x:c>
      <x:c r="G18" s="16" t="str">
        <x:v>sample、experiment_sample、sample_component、data_source</x:v>
      </x:c>
      <x:c r="H18" s="16" t="str">
        <x:v>正式导入</x:v>
      </x:c>
    </x:row>
    <x:row r="19" ht="34" customHeight="1">
      <x:c r="A19" s="16" t="n">
        <x:v>2</x:v>
      </x:c>
      <x:c r="B19" s="16" t="str">
        <x:v>针叶木-打浆转数-纤维特性(1).xlsx</x:v>
      </x:c>
      <x:c r="C19" s="16" t="str">
        <x:v>针叶木纤维特性</x:v>
      </x:c>
      <x:c r="D19" s="16" t="str">
        <x:v>原始版</x:v>
      </x:c>
      <x:c r="E19" s="16" t="str">
        <x:v>Sheet1</x:v>
      </x:c>
      <x:c r="F19" s="22" t="n">
        <x:v>28</x:v>
      </x:c>
      <x:c r="G19" s="16" t="str">
        <x:v>fiber_measurement、data_source</x:v>
      </x:c>
      <x:c r="H19" s="16" t="str">
        <x:v>正式导入</x:v>
      </x:c>
    </x:row>
    <x:row r="20" ht="34" customHeight="1">
      <x:c r="A20" s="16" t="n">
        <x:v>3</x:v>
      </x:c>
      <x:c r="B20" s="16" t="str">
        <x:v>针叶木-打浆转数-纸张性能(1).xlsx</x:v>
      </x:c>
      <x:c r="C20" s="16" t="str">
        <x:v>针叶木纸张性能</x:v>
      </x:c>
      <x:c r="D20" s="16" t="str">
        <x:v>原始版</x:v>
      </x:c>
      <x:c r="E20" s="16" t="str">
        <x:v>Sheet1</x:v>
      </x:c>
      <x:c r="F20" s="22" t="n">
        <x:v>28</x:v>
      </x:c>
      <x:c r="G20" s="16" t="str">
        <x:v>paper_measurement、data_source</x:v>
      </x:c>
      <x:c r="H20" s="16" t="str">
        <x:v>正式导入</x:v>
      </x:c>
    </x:row>
    <x:row r="21" ht="34" customHeight="1">
      <x:c r="A21" s="16" t="n">
        <x:v>4</x:v>
      </x:c>
      <x:c r="B21" s="16" t="str">
        <x:v>data1-阔叶木-打浆转数-打浆度(1).xlsx</x:v>
      </x:c>
      <x:c r="C21" s="16" t="str">
        <x:v>阔叶木打浆度</x:v>
      </x:c>
      <x:c r="D21" s="16" t="str">
        <x:v>原始版</x:v>
      </x:c>
      <x:c r="E21" s="16" t="str">
        <x:v>Sheet1</x:v>
      </x:c>
      <x:c r="F21" s="22" t="n">
        <x:v>24</x:v>
      </x:c>
      <x:c r="G21" s="16" t="str">
        <x:v>sample、experiment_sample、sample_component、data_source</x:v>
      </x:c>
      <x:c r="H21" s="16" t="str">
        <x:v>正式导入</x:v>
      </x:c>
    </x:row>
    <x:row r="22" ht="34" customHeight="1">
      <x:c r="A22" s="16" t="n">
        <x:v>5</x:v>
      </x:c>
      <x:c r="B22" s="16" t="str">
        <x:v>data2-阔叶木-打浆转数-纤维特性(1).xlsx</x:v>
      </x:c>
      <x:c r="C22" s="16" t="str">
        <x:v>阔叶木纤维特性</x:v>
      </x:c>
      <x:c r="D22" s="16" t="str">
        <x:v>原始版</x:v>
      </x:c>
      <x:c r="E22" s="16" t="str">
        <x:v>Sheet1</x:v>
      </x:c>
      <x:c r="F22" s="22" t="n">
        <x:v>24</x:v>
      </x:c>
      <x:c r="G22" s="16" t="str">
        <x:v>fiber_measurement、data_source</x:v>
      </x:c>
      <x:c r="H22" s="16" t="str">
        <x:v>正式导入</x:v>
      </x:c>
    </x:row>
    <x:row r="23" ht="34" customHeight="1">
      <x:c r="A23" s="16" t="n">
        <x:v>6</x:v>
      </x:c>
      <x:c r="B23" s="16" t="str">
        <x:v>data3-阔叶木-打浆转数-纸张性能(1).xlsx</x:v>
      </x:c>
      <x:c r="C23" s="16" t="str">
        <x:v>阔叶木纸张性能</x:v>
      </x:c>
      <x:c r="D23" s="16" t="str">
        <x:v>原始版</x:v>
      </x:c>
      <x:c r="E23" s="16" t="str">
        <x:v>Sheet1</x:v>
      </x:c>
      <x:c r="F23" s="22" t="n">
        <x:v>24</x:v>
      </x:c>
      <x:c r="G23" s="16" t="str">
        <x:v>paper_measurement、data_source</x:v>
      </x:c>
      <x:c r="H23" s="16" t="str">
        <x:v>正式导入</x:v>
      </x:c>
    </x:row>
    <x:row r="24" ht="34" customHeight="1">
      <x:c r="A24" s="16" t="n">
        <x:v>7</x:v>
      </x:c>
      <x:c r="B24" s="16" t="str">
        <x:v>data4-针阔-复配-纤维特性0110(1).xlsx</x:v>
      </x:c>
      <x:c r="C24" s="16" t="str">
        <x:v>复配纤维特性</x:v>
      </x:c>
      <x:c r="D24" s="16" t="str">
        <x:v>0110</x:v>
      </x:c>
      <x:c r="E24" s="16" t="str">
        <x:v>Sheet1</x:v>
      </x:c>
      <x:c r="F24" s="22" t="n">
        <x:v>11</x:v>
      </x:c>
      <x:c r="G24" s="16" t="str">
        <x:v>sample、experiment_sample、sample_component、fiber_measurement、data_source</x:v>
      </x:c>
      <x:c r="H24" s="16" t="str">
        <x:v>正式导入</x:v>
      </x:c>
    </x:row>
    <x:row r="25" ht="34" customHeight="1">
      <x:c r="A25" s="16" t="n">
        <x:v>8</x:v>
      </x:c>
      <x:c r="B25" s="16" t="str">
        <x:v>data5-针阔-复配-纸张特性0110(1).xlsx</x:v>
      </x:c>
      <x:c r="C25" s="16" t="str">
        <x:v>复配纸张性能</x:v>
      </x:c>
      <x:c r="D25" s="16" t="str">
        <x:v>0110</x:v>
      </x:c>
      <x:c r="E25" s="16" t="str">
        <x:v>Sheet1</x:v>
      </x:c>
      <x:c r="F25" s="22" t="n">
        <x:v>11</x:v>
      </x:c>
      <x:c r="G25" s="16" t="str">
        <x:v>paper_measurement、data_source</x:v>
      </x:c>
      <x:c r="H25" s="16" t="str">
        <x:v>正式导入</x:v>
      </x:c>
    </x:row>
    <x:row r="26" ht="34" customHeight="1">
      <x:c r="A26" s="16" t="n">
        <x:v>9</x:v>
      </x:c>
      <x:c r="B26" s="16" t="str">
        <x:v>data4-针阔-复配-纤维特性(1).xlsx</x:v>
      </x:c>
      <x:c r="C26" s="16" t="str">
        <x:v>复配纤维特性旧版</x:v>
      </x:c>
      <x:c r="D26" s="16" t="str">
        <x:v>旧版</x:v>
      </x:c>
      <x:c r="E26" s="16" t="str">
        <x:v>不读取</x:v>
      </x:c>
      <x:c r="F26" s="22"/>
      <x:c r="G26" s="16" t="str">
        <x:v>—</x:v>
      </x:c>
      <x:c r="H26" s="16" t="str">
        <x:v>排除</x:v>
      </x:c>
    </x:row>
    <x:row r="27" ht="34" customHeight="1">
      <x:c r="A27" s="16" t="n">
        <x:v>10</x:v>
      </x:c>
      <x:c r="B27" s="16" t="str">
        <x:v>data5-针阔-复配-纸张特性(1).xlsx</x:v>
      </x:c>
      <x:c r="C27" s="16" t="str">
        <x:v>复配纸张性能旧版</x:v>
      </x:c>
      <x:c r="D27" s="16" t="str">
        <x:v>旧版</x:v>
      </x:c>
      <x:c r="E27" s="16" t="str">
        <x:v>不读取</x:v>
      </x:c>
      <x:c r="F27" s="22"/>
      <x:c r="G27" s="16" t="str">
        <x:v>—</x:v>
      </x:c>
      <x:c r="H27" s="16" t="str">
        <x:v>排除</x:v>
      </x:c>
    </x:row>
    <x:row r="28" ht="34" customHeight="1">
      <x:c r="A28" s="16" t="n">
        <x:v>11</x:v>
      </x:c>
      <x:c r="B28" s="16" t="str">
        <x:v>数据汇总(1).xlsx</x:v>
      </x:c>
      <x:c r="C28" s="16" t="str">
        <x:v>汇总工作簿</x:v>
      </x:c>
      <x:c r="D28" s="16" t="str">
        <x:v>汇总版</x:v>
      </x:c>
      <x:c r="E28" s="16" t="str">
        <x:v>不读取</x:v>
      </x:c>
      <x:c r="F28" s="22"/>
      <x:c r="G28" s="16" t="str">
        <x:v>—</x:v>
      </x:c>
      <x:c r="H28" s="16" t="str">
        <x:v>排除</x:v>
      </x:c>
    </x:row>
  </x:sheetData>
  <x:mergeCells>
    <x:mergeCell ref="A1:H1"/>
    <x:mergeCell ref="A2:H2"/>
    <x:mergeCell ref="A4:H4"/>
    <x:mergeCell ref="A16:H16"/>
  </x:mergeCells>
  <x:conditionalFormatting sqref="H18:H28">
    <x:cfRule type="containsText" dxfId="0" priority="1" operator="containsText" text="正式导入"/>
    <x:cfRule type="containsText" dxfId="1" priority="2" operator="containsText" text="排除"/>
  </x:conditionalFormatting>
  <x:pageMargins left="0.7" right="0.7" top="0.75" bottom="0.75" header="0.3" footer="0.3"/>
  <x:tableParts count="2">
    <x:tablePart xmlns:r="http://schemas.openxmlformats.org/officeDocument/2006/relationships" r:id="Rd53633a62c62480e"/>
    <x:tablePart xmlns:r="http://schemas.openxmlformats.org/officeDocument/2006/relationships" r:id="Ra73d077de1b84a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1" hidden="0" customWidth="1"/>
    <x:col min="4" max="4" width="22" hidden="0" customWidth="1"/>
    <x:col min="5" max="5" width="21" hidden="0" customWidth="1"/>
    <x:col min="6" max="6" width="18" hidden="0" customWidth="1"/>
    <x:col min="7" max="7" width="10" hidden="0" customWidth="1"/>
    <x:col min="8" max="8" width="18" hidden="0" customWidth="1"/>
    <x:col min="9" max="9" width="16" hidden="0" customWidth="1"/>
    <x:col min="10" max="10" width="32" hidden="0" customWidth="1"/>
    <x:col min="11" max="11" width="25" hidden="0" customWidth="1"/>
    <x:col min="12" max="12" width="44" hidden="0" customWidth="1"/>
  </x:cols>
  <x:sheetData>
    <x:row r="1" ht="32" customHeight="1">
      <x:c r="A1" s="3" t="str">
        <x:v>植物纤维数据库｜字段数据字典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共56个正式字段｜所有字段使用PostgreSQL类型｜透气度和耐折度的不确定信息以单位状态显式标记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21" t="str">
        <x:v>序号</x:v>
      </x:c>
      <x:c r="B4" s="21" t="str">
        <x:v>表名</x:v>
      </x:c>
      <x:c r="C4" s="21" t="str">
        <x:v>字段名</x:v>
      </x:c>
      <x:c r="D4" s="21" t="str">
        <x:v>中文名称</x:v>
      </x:c>
      <x:c r="E4" s="21" t="str">
        <x:v>PostgreSQL类型</x:v>
      </x:c>
      <x:c r="F4" s="21" t="str">
        <x:v>键/索引</x:v>
      </x:c>
      <x:c r="G4" s="21" t="str">
        <x:v>可为空</x:v>
      </x:c>
      <x:c r="H4" s="21" t="str">
        <x:v>单位</x:v>
      </x:c>
      <x:c r="I4" s="21" t="str">
        <x:v>单位状态</x:v>
      </x:c>
      <x:c r="J4" s="21" t="str">
        <x:v>取值或约束</x:v>
      </x:c>
      <x:c r="K4" s="21" t="str">
        <x:v>默认值</x:v>
      </x:c>
      <x:c r="L4" s="21" t="str">
        <x:v>字段说明</x:v>
      </x:c>
    </x:row>
    <x:row r="5" ht="34" customHeight="1">
      <x:c r="A5" s="22" t="n">
        <x:v>1</x:v>
      </x:c>
      <x:c r="B5" s="16" t="str">
        <x:v>material</x:v>
      </x:c>
      <x:c r="C5" s="16" t="str">
        <x:v>material_id</x:v>
      </x:c>
      <x:c r="D5" s="16" t="str">
        <x:v>原料编号</x:v>
      </x:c>
      <x:c r="E5" s="16" t="str">
        <x:v>BIGINT</x:v>
      </x:c>
      <x:c r="F5" s="16" t="str">
        <x:v>主键</x:v>
      </x:c>
      <x:c r="G5" s="16" t="str">
        <x:v>否</x:v>
      </x:c>
      <x:c r="H5" s="16" t="str">
        <x:v>—</x:v>
      </x:c>
      <x:c r="I5" s="16" t="str">
        <x:v>不适用</x:v>
      </x:c>
      <x:c r="J5" s="16" t="str">
        <x:v>&gt; 0</x:v>
      </x:c>
      <x:c r="K5" s="16" t="str">
        <x:v>IDENTITY</x:v>
      </x:c>
      <x:c r="L5" s="16" t="str">
        <x:v>数据库内部编号</x:v>
      </x:c>
    </x:row>
    <x:row r="6" ht="34" customHeight="1">
      <x:c r="A6" s="22" t="n">
        <x:v>2</x:v>
      </x:c>
      <x:c r="B6" s="16" t="str">
        <x:v>material</x:v>
      </x:c>
      <x:c r="C6" s="16" t="str">
        <x:v>material_code</x:v>
      </x:c>
      <x:c r="D6" s="16" t="str">
        <x:v>原料代码</x:v>
      </x:c>
      <x:c r="E6" s="16" t="str">
        <x:v>VARCHAR(16)</x:v>
      </x:c>
      <x:c r="F6" s="16" t="str">
        <x:v>唯一键</x:v>
      </x:c>
      <x:c r="G6" s="16" t="str">
        <x:v>否</x:v>
      </x:c>
      <x:c r="H6" s="16" t="str">
        <x:v>—</x:v>
      </x:c>
      <x:c r="I6" s="16" t="str">
        <x:v>不适用</x:v>
      </x:c>
      <x:c r="J6" s="16" t="str">
        <x:v>SW或HW</x:v>
      </x:c>
      <x:c r="K6" s="16" t="str">
        <x:v>—</x:v>
      </x:c>
      <x:c r="L6" s="16" t="str">
        <x:v>用于稳定关联原料</x:v>
      </x:c>
    </x:row>
    <x:row r="7" ht="34" customHeight="1">
      <x:c r="A7" s="22" t="n">
        <x:v>3</x:v>
      </x:c>
      <x:c r="B7" s="16" t="str">
        <x:v>material</x:v>
      </x:c>
      <x:c r="C7" s="16" t="str">
        <x:v>material_name</x:v>
      </x:c>
      <x:c r="D7" s="16" t="str">
        <x:v>原料名称</x:v>
      </x:c>
      <x:c r="E7" s="16" t="str">
        <x:v>VARCHAR(64)</x:v>
      </x:c>
      <x:c r="F7" s="16" t="str">
        <x:v>—</x:v>
      </x:c>
      <x:c r="G7" s="16" t="str">
        <x:v>否</x:v>
      </x:c>
      <x:c r="H7" s="16" t="str">
        <x:v>—</x:v>
      </x:c>
      <x:c r="I7" s="16" t="str">
        <x:v>不适用</x:v>
      </x:c>
      <x:c r="J7" s="16" t="str">
        <x:v>非空</x:v>
      </x:c>
      <x:c r="K7" s="16" t="str">
        <x:v>—</x:v>
      </x:c>
      <x:c r="L7" s="16" t="str">
        <x:v>漂白针叶木浆或漂白阔叶木浆</x:v>
      </x:c>
    </x:row>
    <x:row r="8" ht="34" customHeight="1">
      <x:c r="A8" s="22" t="n">
        <x:v>4</x:v>
      </x:c>
      <x:c r="B8" s="16" t="str">
        <x:v>experiment</x:v>
      </x:c>
      <x:c r="C8" s="16" t="str">
        <x:v>experiment_id</x:v>
      </x:c>
      <x:c r="D8" s="16" t="str">
        <x:v>实验编号</x:v>
      </x:c>
      <x:c r="E8" s="16" t="str">
        <x:v>BIGINT</x:v>
      </x:c>
      <x:c r="F8" s="16" t="str">
        <x:v>主键</x:v>
      </x:c>
      <x:c r="G8" s="16" t="str">
        <x:v>否</x:v>
      </x:c>
      <x:c r="H8" s="16" t="str">
        <x:v>—</x:v>
      </x:c>
      <x:c r="I8" s="16" t="str">
        <x:v>不适用</x:v>
      </x:c>
      <x:c r="J8" s="16" t="str">
        <x:v>&gt; 0</x:v>
      </x:c>
      <x:c r="K8" s="16" t="str">
        <x:v>IDENTITY</x:v>
      </x:c>
      <x:c r="L8" s="16" t="str">
        <x:v>数据库内部实验编号</x:v>
      </x:c>
    </x:row>
    <x:row r="9" ht="34" customHeight="1">
      <x:c r="A9" s="22" t="n">
        <x:v>5</x:v>
      </x:c>
      <x:c r="B9" s="16" t="str">
        <x:v>experiment</x:v>
      </x:c>
      <x:c r="C9" s="16" t="str">
        <x:v>experiment_code</x:v>
      </x:c>
      <x:c r="D9" s="16" t="str">
        <x:v>实验代码</x:v>
      </x:c>
      <x:c r="E9" s="16" t="str">
        <x:v>VARCHAR(32)</x:v>
      </x:c>
      <x:c r="F9" s="16" t="str">
        <x:v>唯一键</x:v>
      </x:c>
      <x:c r="G9" s="16" t="str">
        <x:v>否</x:v>
      </x:c>
      <x:c r="H9" s="16" t="str">
        <x:v>—</x:v>
      </x:c>
      <x:c r="I9" s="16" t="str">
        <x:v>不适用</x:v>
      </x:c>
      <x:c r="J9" s="16" t="str">
        <x:v>SW_BEATING、HW_BEATING或BLEND</x:v>
      </x:c>
      <x:c r="K9" s="16" t="str">
        <x:v>—</x:v>
      </x:c>
      <x:c r="L9" s="16" t="str">
        <x:v>平台及导入程序使用的稳定代码</x:v>
      </x:c>
    </x:row>
    <x:row r="10" ht="34" customHeight="1">
      <x:c r="A10" s="22" t="n">
        <x:v>6</x:v>
      </x:c>
      <x:c r="B10" s="16" t="str">
        <x:v>experiment</x:v>
      </x:c>
      <x:c r="C10" s="16" t="str">
        <x:v>experiment_name</x:v>
      </x:c>
      <x:c r="D10" s="16" t="str">
        <x:v>实验名称</x:v>
      </x:c>
      <x:c r="E10" s="16" t="str">
        <x:v>VARCHAR(100)</x:v>
      </x:c>
      <x:c r="F10" s="16" t="str">
        <x:v>—</x:v>
      </x:c>
      <x:c r="G10" s="16" t="str">
        <x:v>否</x:v>
      </x:c>
      <x:c r="H10" s="16" t="str">
        <x:v>—</x:v>
      </x:c>
      <x:c r="I10" s="16" t="str">
        <x:v>不适用</x:v>
      </x:c>
      <x:c r="J10" s="16" t="str">
        <x:v>非空</x:v>
      </x:c>
      <x:c r="K10" s="16" t="str">
        <x:v>—</x:v>
      </x:c>
      <x:c r="L10" s="16" t="str">
        <x:v>平台显示名称</x:v>
      </x:c>
    </x:row>
    <x:row r="11" ht="34" customHeight="1">
      <x:c r="A11" s="22" t="n">
        <x:v>7</x:v>
      </x:c>
      <x:c r="B11" s="16" t="str">
        <x:v>experiment</x:v>
      </x:c>
      <x:c r="C11" s="16" t="str">
        <x:v>experiment_type</x:v>
      </x:c>
      <x:c r="D11" s="16" t="str">
        <x:v>实验类型</x:v>
      </x:c>
      <x:c r="E11" s="16" t="str">
        <x:v>VARCHAR(16)</x:v>
      </x:c>
      <x:c r="F11" s="16" t="str">
        <x:v>—</x:v>
      </x:c>
      <x:c r="G11" s="16" t="str">
        <x:v>否</x:v>
      </x:c>
      <x:c r="H11" s="16" t="str">
        <x:v>—</x:v>
      </x:c>
      <x:c r="I11" s="16" t="str">
        <x:v>不适用</x:v>
      </x:c>
      <x:c r="J11" s="16" t="str">
        <x:v>beating或blend</x:v>
      </x:c>
      <x:c r="K11" s="16" t="str">
        <x:v>—</x:v>
      </x:c>
      <x:c r="L11" s="16" t="str">
        <x:v>区分打浆实验和复配实验</x:v>
      </x:c>
    </x:row>
    <x:row r="12" ht="34" customHeight="1">
      <x:c r="A12" s="22" t="n">
        <x:v>8</x:v>
      </x:c>
      <x:c r="B12" s="16" t="str">
        <x:v>sample</x:v>
      </x:c>
      <x:c r="C12" s="16" t="str">
        <x:v>sample_id</x:v>
      </x:c>
      <x:c r="D12" s="16" t="str">
        <x:v>样本编号</x:v>
      </x:c>
      <x:c r="E12" s="16" t="str">
        <x:v>BIGINT</x:v>
      </x:c>
      <x:c r="F12" s="16" t="str">
        <x:v>主键</x:v>
      </x:c>
      <x:c r="G12" s="16" t="str">
        <x:v>否</x:v>
      </x:c>
      <x:c r="H12" s="16" t="str">
        <x:v>—</x:v>
      </x:c>
      <x:c r="I12" s="16" t="str">
        <x:v>不适用</x:v>
      </x:c>
      <x:c r="J12" s="16" t="str">
        <x:v>&gt; 0</x:v>
      </x:c>
      <x:c r="K12" s="16" t="str">
        <x:v>IDENTITY</x:v>
      </x:c>
      <x:c r="L12" s="16" t="str">
        <x:v>数据库内部唯一样本编号</x:v>
      </x:c>
    </x:row>
    <x:row r="13" ht="34" customHeight="1">
      <x:c r="A13" s="22" t="n">
        <x:v>9</x:v>
      </x:c>
      <x:c r="B13" s="16" t="str">
        <x:v>sample</x:v>
      </x:c>
      <x:c r="C13" s="16" t="str">
        <x:v>canonical_code</x:v>
      </x:c>
      <x:c r="D13" s="16" t="str">
        <x:v>标准样本代码</x:v>
      </x:c>
      <x:c r="E13" s="16" t="str">
        <x:v>VARCHAR(32)</x:v>
      </x:c>
      <x:c r="F13" s="16" t="str">
        <x:v>唯一键</x:v>
      </x:c>
      <x:c r="G13" s="16" t="str">
        <x:v>否</x:v>
      </x:c>
      <x:c r="H13" s="16" t="str">
        <x:v>—</x:v>
      </x:c>
      <x:c r="I13" s="16" t="str">
        <x:v>不适用</x:v>
      </x:c>
      <x:c r="J13" s="16" t="str">
        <x:v>全库唯一</x:v>
      </x:c>
      <x:c r="K13" s="16" t="str">
        <x:v>—</x:v>
      </x:c>
      <x:c r="L13" s="16" t="str">
        <x:v>纯浆按材种和转数生成，复配按比例生成</x:v>
      </x:c>
    </x:row>
    <x:row r="14" ht="34" customHeight="1">
      <x:c r="A14" s="22" t="n">
        <x:v>10</x:v>
      </x:c>
      <x:c r="B14" s="16" t="str">
        <x:v>sample</x:v>
      </x:c>
      <x:c r="C14" s="16" t="str">
        <x:v>sample_type</x:v>
      </x:c>
      <x:c r="D14" s="16" t="str">
        <x:v>样本类型</x:v>
      </x:c>
      <x:c r="E14" s="16" t="str">
        <x:v>VARCHAR(16)</x:v>
      </x:c>
      <x:c r="F14" s="16" t="str">
        <x:v>—</x:v>
      </x:c>
      <x:c r="G14" s="16" t="str">
        <x:v>否</x:v>
      </x:c>
      <x:c r="H14" s="16" t="str">
        <x:v>—</x:v>
      </x:c>
      <x:c r="I14" s="16" t="str">
        <x:v>不适用</x:v>
      </x:c>
      <x:c r="J14" s="16" t="str">
        <x:v>softwood、hardwood或blend</x:v>
      </x:c>
      <x:c r="K14" s="16" t="str">
        <x:v>—</x:v>
      </x:c>
      <x:c r="L14" s="16" t="str">
        <x:v>样本类别</x:v>
      </x:c>
    </x:row>
    <x:row r="15" ht="34" customHeight="1">
      <x:c r="A15" s="22" t="n">
        <x:v>11</x:v>
      </x:c>
      <x:c r="B15" s="16" t="str">
        <x:v>sample</x:v>
      </x:c>
      <x:c r="C15" s="16" t="str">
        <x:v>display_name</x:v>
      </x:c>
      <x:c r="D15" s="16" t="str">
        <x:v>显示名称</x:v>
      </x:c>
      <x:c r="E15" s="16" t="str">
        <x:v>VARCHAR(100)</x:v>
      </x:c>
      <x:c r="F15" s="16" t="str">
        <x:v>—</x:v>
      </x:c>
      <x:c r="G15" s="16" t="str">
        <x:v>否</x:v>
      </x:c>
      <x:c r="H15" s="16" t="str">
        <x:v>—</x:v>
      </x:c>
      <x:c r="I15" s="16" t="str">
        <x:v>不适用</x:v>
      </x:c>
      <x:c r="J15" s="16" t="str">
        <x:v>非空</x:v>
      </x:c>
      <x:c r="K15" s="16" t="str">
        <x:v>—</x:v>
      </x:c>
      <x:c r="L15" s="16" t="str">
        <x:v>可视化平台中的中文名称</x:v>
      </x:c>
    </x:row>
    <x:row r="16" ht="34" customHeight="1">
      <x:c r="A16" s="22" t="n">
        <x:v>12</x:v>
      </x:c>
      <x:c r="B16" s="16" t="str">
        <x:v>sample</x:v>
      </x:c>
      <x:c r="C16" s="16" t="str">
        <x:v>notes</x:v>
      </x:c>
      <x:c r="D16" s="16" t="str">
        <x:v>备注</x:v>
      </x:c>
      <x:c r="E16" s="16" t="str">
        <x:v>TEXT</x:v>
      </x:c>
      <x:c r="F16" s="16" t="str">
        <x:v>—</x:v>
      </x:c>
      <x:c r="G16" s="16" t="str">
        <x:v>是</x:v>
      </x:c>
      <x:c r="H16" s="16" t="str">
        <x:v>—</x:v>
      </x:c>
      <x:c r="I16" s="16" t="str">
        <x:v>不适用</x:v>
      </x:c>
      <x:c r="J16" s="16" t="str">
        <x:v>—</x:v>
      </x:c>
      <x:c r="K16" s="16" t="str">
        <x:v>NULL</x:v>
      </x:c>
      <x:c r="L16" s="16" t="str">
        <x:v>保存必要说明，不存放测量值</x:v>
      </x:c>
    </x:row>
    <x:row r="17" ht="34" customHeight="1">
      <x:c r="A17" s="22" t="n">
        <x:v>13</x:v>
      </x:c>
      <x:c r="B17" s="16" t="str">
        <x:v>experiment_sample</x:v>
      </x:c>
      <x:c r="C17" s="16" t="str">
        <x:v>experiment_id</x:v>
      </x:c>
      <x:c r="D17" s="16" t="str">
        <x:v>实验编号</x:v>
      </x:c>
      <x:c r="E17" s="16" t="str">
        <x:v>BIGINT</x:v>
      </x:c>
      <x:c r="F17" s="16" t="str">
        <x:v>联合主键、外键</x:v>
      </x:c>
      <x:c r="G17" s="16" t="str">
        <x:v>否</x:v>
      </x:c>
      <x:c r="H17" s="16" t="str">
        <x:v>—</x:v>
      </x:c>
      <x:c r="I17" s="16" t="str">
        <x:v>不适用</x:v>
      </x:c>
      <x:c r="J17" s="16" t="str">
        <x:v>引用experiment</x:v>
      </x:c>
      <x:c r="K17" s="16" t="str">
        <x:v>—</x:v>
      </x:c>
      <x:c r="L17" s="16" t="str">
        <x:v>所属实验</x:v>
      </x:c>
    </x:row>
    <x:row r="18" ht="34" customHeight="1">
      <x:c r="A18" s="22" t="n">
        <x:v>14</x:v>
      </x:c>
      <x:c r="B18" s="16" t="str">
        <x:v>experiment_sample</x:v>
      </x:c>
      <x:c r="C18" s="16" t="str">
        <x:v>sample_id</x:v>
      </x:c>
      <x:c r="D18" s="16" t="str">
        <x:v>样本编号</x:v>
      </x:c>
      <x:c r="E18" s="16" t="str">
        <x:v>BIGINT</x:v>
      </x:c>
      <x:c r="F18" s="16" t="str">
        <x:v>联合主键、外键</x:v>
      </x:c>
      <x:c r="G18" s="16" t="str">
        <x:v>否</x:v>
      </x:c>
      <x:c r="H18" s="16" t="str">
        <x:v>—</x:v>
      </x:c>
      <x:c r="I18" s="16" t="str">
        <x:v>不适用</x:v>
      </x:c>
      <x:c r="J18" s="16" t="str">
        <x:v>引用sample</x:v>
      </x:c>
      <x:c r="K18" s="16" t="str">
        <x:v>—</x:v>
      </x:c>
      <x:c r="L18" s="16" t="str">
        <x:v>引用唯一样本</x:v>
      </x:c>
    </x:row>
    <x:row r="19" ht="34" customHeight="1">
      <x:c r="A19" s="22" t="n">
        <x:v>15</x:v>
      </x:c>
      <x:c r="B19" s="16" t="str">
        <x:v>experiment_sample</x:v>
      </x:c>
      <x:c r="C19" s="16" t="str">
        <x:v>display_code</x:v>
      </x:c>
      <x:c r="D19" s="16" t="str">
        <x:v>实验内编号</x:v>
      </x:c>
      <x:c r="E19" s="16" t="str">
        <x:v>VARCHAR(16)</x:v>
      </x:c>
      <x:c r="F19" s="16" t="str">
        <x:v>实验内唯一</x:v>
      </x:c>
      <x:c r="G19" s="16" t="str">
        <x:v>否</x:v>
      </x:c>
      <x:c r="H19" s="16" t="str">
        <x:v>—</x:v>
      </x:c>
      <x:c r="I19" s="16" t="str">
        <x:v>不适用</x:v>
      </x:c>
      <x:c r="J19" s="16" t="str">
        <x:v>同一实验内唯一</x:v>
      </x:c>
      <x:c r="K19" s="16" t="str">
        <x:v>—</x:v>
      </x:c>
      <x:c r="L19" s="16" t="str">
        <x:v>例如1、zk19、zk010</x:v>
      </x:c>
    </x:row>
    <x:row r="20" ht="34" customHeight="1">
      <x:c r="A20" s="22" t="n">
        <x:v>16</x:v>
      </x:c>
      <x:c r="B20" s="16" t="str">
        <x:v>experiment_sample</x:v>
      </x:c>
      <x:c r="C20" s="16" t="str">
        <x:v>display_order</x:v>
      </x:c>
      <x:c r="D20" s="16" t="str">
        <x:v>显示顺序</x:v>
      </x:c>
      <x:c r="E20" s="16" t="str">
        <x:v>INTEGER</x:v>
      </x:c>
      <x:c r="F20" s="16" t="str">
        <x:v>—</x:v>
      </x:c>
      <x:c r="G20" s="16" t="str">
        <x:v>否</x:v>
      </x:c>
      <x:c r="H20" s="16" t="str">
        <x:v>—</x:v>
      </x:c>
      <x:c r="I20" s="16" t="str">
        <x:v>不适用</x:v>
      </x:c>
      <x:c r="J20" s="16" t="str">
        <x:v>&gt; 0</x:v>
      </x:c>
      <x:c r="K20" s="16" t="str">
        <x:v>—</x:v>
      </x:c>
      <x:c r="L20" s="16" t="str">
        <x:v>图表排序依据</x:v>
      </x:c>
    </x:row>
    <x:row r="21" ht="34" customHeight="1">
      <x:c r="A21" s="22" t="n">
        <x:v>17</x:v>
      </x:c>
      <x:c r="B21" s="16" t="str">
        <x:v>experiment_sample</x:v>
      </x:c>
      <x:c r="C21" s="16" t="str">
        <x:v>source_id</x:v>
      </x:c>
      <x:c r="D21" s="16" t="str">
        <x:v>来源编号</x:v>
      </x:c>
      <x:c r="E21" s="16" t="str">
        <x:v>BIGINT</x:v>
      </x:c>
      <x:c r="F21" s="16" t="str">
        <x:v>外键</x:v>
      </x:c>
      <x:c r="G21" s="16" t="str">
        <x:v>否</x:v>
      </x:c>
      <x:c r="H21" s="16" t="str">
        <x:v>—</x:v>
      </x:c>
      <x:c r="I21" s="16" t="str">
        <x:v>不适用</x:v>
      </x:c>
      <x:c r="J21" s="16" t="str">
        <x:v>引用data_source</x:v>
      </x:c>
      <x:c r="K21" s="16" t="str">
        <x:v>—</x:v>
      </x:c>
      <x:c r="L21" s="16" t="str">
        <x:v>追溯创建该展示点的来源行</x:v>
      </x:c>
    </x:row>
    <x:row r="22" ht="34" customHeight="1">
      <x:c r="A22" s="22" t="n">
        <x:v>18</x:v>
      </x:c>
      <x:c r="B22" s="16" t="str">
        <x:v>sample_component</x:v>
      </x:c>
      <x:c r="C22" s="16" t="str">
        <x:v>sample_id</x:v>
      </x:c>
      <x:c r="D22" s="16" t="str">
        <x:v>样本编号</x:v>
      </x:c>
      <x:c r="E22" s="16" t="str">
        <x:v>BIGINT</x:v>
      </x:c>
      <x:c r="F22" s="16" t="str">
        <x:v>联合主键、外键</x:v>
      </x:c>
      <x:c r="G22" s="16" t="str">
        <x:v>否</x:v>
      </x:c>
      <x:c r="H22" s="16" t="str">
        <x:v>—</x:v>
      </x:c>
      <x:c r="I22" s="16" t="str">
        <x:v>不适用</x:v>
      </x:c>
      <x:c r="J22" s="16" t="str">
        <x:v>引用sample</x:v>
      </x:c>
      <x:c r="K22" s="16" t="str">
        <x:v>—</x:v>
      </x:c>
      <x:c r="L22" s="16" t="str">
        <x:v>所属样本</x:v>
      </x:c>
    </x:row>
    <x:row r="23" ht="34" customHeight="1">
      <x:c r="A23" s="22" t="n">
        <x:v>19</x:v>
      </x:c>
      <x:c r="B23" s="16" t="str">
        <x:v>sample_component</x:v>
      </x:c>
      <x:c r="C23" s="16" t="str">
        <x:v>material_id</x:v>
      </x:c>
      <x:c r="D23" s="16" t="str">
        <x:v>原料编号</x:v>
      </x:c>
      <x:c r="E23" s="16" t="str">
        <x:v>BIGINT</x:v>
      </x:c>
      <x:c r="F23" s="16" t="str">
        <x:v>联合主键、外键</x:v>
      </x:c>
      <x:c r="G23" s="16" t="str">
        <x:v>否</x:v>
      </x:c>
      <x:c r="H23" s="16" t="str">
        <x:v>—</x:v>
      </x:c>
      <x:c r="I23" s="16" t="str">
        <x:v>不适用</x:v>
      </x:c>
      <x:c r="J23" s="16" t="str">
        <x:v>引用material</x:v>
      </x:c>
      <x:c r="K23" s="16" t="str">
        <x:v>—</x:v>
      </x:c>
      <x:c r="L23" s="16" t="str">
        <x:v>组分原料</x:v>
      </x:c>
    </x:row>
    <x:row r="24" ht="34" customHeight="1">
      <x:c r="A24" s="22" t="n">
        <x:v>20</x:v>
      </x:c>
      <x:c r="B24" s="16" t="str">
        <x:v>sample_component</x:v>
      </x:c>
      <x:c r="C24" s="16" t="str">
        <x:v>proportion_pct</x:v>
      </x:c>
      <x:c r="D24" s="16" t="str">
        <x:v>组分比例</x:v>
      </x:c>
      <x:c r="E24" s="16" t="str">
        <x:v>NUMERIC(5,2)</x:v>
      </x:c>
      <x:c r="F24" s="16" t="str">
        <x:v>—</x:v>
      </x:c>
      <x:c r="G24" s="16" t="str">
        <x:v>否</x:v>
      </x:c>
      <x:c r="H24" s="16" t="str">
        <x:v>%</x:v>
      </x:c>
      <x:c r="I24" s="16" t="str">
        <x:v>已确认</x:v>
      </x:c>
      <x:c r="J24" s="16" t="str">
        <x:v>0至100；同一样本合计100</x:v>
      </x:c>
      <x:c r="K24" s="16" t="str">
        <x:v>—</x:v>
      </x:c>
      <x:c r="L24" s="16" t="str">
        <x:v>原料在样本中的质量比例</x:v>
      </x:c>
    </x:row>
    <x:row r="25" ht="34" customHeight="1">
      <x:c r="A25" s="22" t="n">
        <x:v>21</x:v>
      </x:c>
      <x:c r="B25" s="16" t="str">
        <x:v>sample_component</x:v>
      </x:c>
      <x:c r="C25" s="16" t="str">
        <x:v>beating_revolutions</x:v>
      </x:c>
      <x:c r="D25" s="16" t="str">
        <x:v>打浆转数</x:v>
      </x:c>
      <x:c r="E25" s="16" t="str">
        <x:v>INTEGER</x:v>
      </x:c>
      <x:c r="F25" s="16" t="str">
        <x:v>—</x:v>
      </x:c>
      <x:c r="G25" s="16" t="str">
        <x:v>否</x:v>
      </x:c>
      <x:c r="H25" s="16" t="str">
        <x:v>r</x:v>
      </x:c>
      <x:c r="I25" s="16" t="str">
        <x:v>已确认</x:v>
      </x:c>
      <x:c r="J25" s="16" t="str">
        <x:v>&gt;= 0</x:v>
      </x:c>
      <x:c r="K25" s="16" t="str">
        <x:v>—</x:v>
      </x:c>
      <x:c r="L25" s="16" t="str">
        <x:v>该组分的打浆转数</x:v>
      </x:c>
    </x:row>
    <x:row r="26" ht="34" customHeight="1">
      <x:c r="A26" s="22" t="n">
        <x:v>22</x:v>
      </x:c>
      <x:c r="B26" s="16" t="str">
        <x:v>sample_component</x:v>
      </x:c>
      <x:c r="C26" s="16" t="str">
        <x:v>beating_degree_sr</x:v>
      </x:c>
      <x:c r="D26" s="16" t="str">
        <x:v>打浆度</x:v>
      </x:c>
      <x:c r="E26" s="16" t="str">
        <x:v>NUMERIC(5,1)</x:v>
      </x:c>
      <x:c r="F26" s="16" t="str">
        <x:v>—</x:v>
      </x:c>
      <x:c r="G26" s="16" t="str">
        <x:v>否</x:v>
      </x:c>
      <x:c r="H26" s="16" t="str">
        <x:v>°SR</x:v>
      </x:c>
      <x:c r="I26" s="16" t="str">
        <x:v>已确认</x:v>
      </x:c>
      <x:c r="J26" s="16" t="str">
        <x:v>&gt;= 0</x:v>
      </x:c>
      <x:c r="K26" s="16" t="str">
        <x:v>—</x:v>
      </x:c>
      <x:c r="L26" s="16" t="str">
        <x:v>该组分的打浆度</x:v>
      </x:c>
    </x:row>
    <x:row r="27" ht="34" customHeight="1">
      <x:c r="A27" s="22" t="n">
        <x:v>23</x:v>
      </x:c>
      <x:c r="B27" s="16" t="str">
        <x:v>sample_component</x:v>
      </x:c>
      <x:c r="C27" s="16" t="str">
        <x:v>source_id</x:v>
      </x:c>
      <x:c r="D27" s="16" t="str">
        <x:v>来源编号</x:v>
      </x:c>
      <x:c r="E27" s="16" t="str">
        <x:v>BIGINT</x:v>
      </x:c>
      <x:c r="F27" s="16" t="str">
        <x:v>外键</x:v>
      </x:c>
      <x:c r="G27" s="16" t="str">
        <x:v>否</x:v>
      </x:c>
      <x:c r="H27" s="16" t="str">
        <x:v>—</x:v>
      </x:c>
      <x:c r="I27" s="16" t="str">
        <x:v>不适用</x:v>
      </x:c>
      <x:c r="J27" s="16" t="str">
        <x:v>引用data_source</x:v>
      </x:c>
      <x:c r="K27" s="16" t="str">
        <x:v>—</x:v>
      </x:c>
      <x:c r="L27" s="16" t="str">
        <x:v>追溯比例或打浆条件来源</x:v>
      </x:c>
    </x:row>
    <x:row r="28" ht="34" customHeight="1">
      <x:c r="A28" s="22" t="n">
        <x:v>24</x:v>
      </x:c>
      <x:c r="B28" s="16" t="str">
        <x:v>fiber_measurement</x:v>
      </x:c>
      <x:c r="C28" s="16" t="str">
        <x:v>sample_id</x:v>
      </x:c>
      <x:c r="D28" s="16" t="str">
        <x:v>样本编号</x:v>
      </x:c>
      <x:c r="E28" s="16" t="str">
        <x:v>BIGINT</x:v>
      </x:c>
      <x:c r="F28" s="16" t="str">
        <x:v>主键、外键</x:v>
      </x:c>
      <x:c r="G28" s="16" t="str">
        <x:v>否</x:v>
      </x:c>
      <x:c r="H28" s="16" t="str">
        <x:v>—</x:v>
      </x:c>
      <x:c r="I28" s="16" t="str">
        <x:v>不适用</x:v>
      </x:c>
      <x:c r="J28" s="16" t="str">
        <x:v>引用sample</x:v>
      </x:c>
      <x:c r="K28" s="16" t="str">
        <x:v>—</x:v>
      </x:c>
      <x:c r="L28" s="16" t="str">
        <x:v>每个样本最多一条纤维记录</x:v>
      </x:c>
    </x:row>
    <x:row r="29" ht="34" customHeight="1">
      <x:c r="A29" s="22" t="n">
        <x:v>25</x:v>
      </x:c>
      <x:c r="B29" s="16" t="str">
        <x:v>fiber_measurement</x:v>
      </x:c>
      <x:c r="C29" s="16" t="str">
        <x:v>fiber_length_arithmetic_mm</x:v>
      </x:c>
      <x:c r="D29" s="16" t="str">
        <x:v>算术平均纤维长度</x:v>
      </x:c>
      <x:c r="E29" s="16" t="str">
        <x:v>NUMERIC(10,4)</x:v>
      </x:c>
      <x:c r="F29" s="16" t="str">
        <x:v>—</x:v>
      </x:c>
      <x:c r="G29" s="16" t="str">
        <x:v>是</x:v>
      </x:c>
      <x:c r="H29" s="16" t="str">
        <x:v>mm</x:v>
      </x:c>
      <x:c r="I29" s="16" t="str">
        <x:v>已确认</x:v>
      </x:c>
      <x:c r="J29" s="16" t="str">
        <x:v>非负</x:v>
      </x:c>
      <x:c r="K29" s="16" t="str">
        <x:v>NULL</x:v>
      </x:c>
      <x:c r="L29" s="16" t="str">
        <x:v>保留源表原始精度；缺失值记为NULL</x:v>
      </x:c>
    </x:row>
    <x:row r="30" ht="34" customHeight="1">
      <x:c r="A30" s="22" t="n">
        <x:v>26</x:v>
      </x:c>
      <x:c r="B30" s="16" t="str">
        <x:v>fiber_measurement</x:v>
      </x:c>
      <x:c r="C30" s="16" t="str">
        <x:v>fiber_length_weighted_mm</x:v>
      </x:c>
      <x:c r="D30" s="16" t="str">
        <x:v>长度加权纤维长度</x:v>
      </x:c>
      <x:c r="E30" s="16" t="str">
        <x:v>NUMERIC(10,4)</x:v>
      </x:c>
      <x:c r="F30" s="16" t="str">
        <x:v>—</x:v>
      </x:c>
      <x:c r="G30" s="16" t="str">
        <x:v>是</x:v>
      </x:c>
      <x:c r="H30" s="16" t="str">
        <x:v>mm</x:v>
      </x:c>
      <x:c r="I30" s="16" t="str">
        <x:v>已确认</x:v>
      </x:c>
      <x:c r="J30" s="16" t="str">
        <x:v>非负</x:v>
      </x:c>
      <x:c r="K30" s="16" t="str">
        <x:v>NULL</x:v>
      </x:c>
      <x:c r="L30" s="16" t="str">
        <x:v>保留源表原始精度；缺失值记为NULL</x:v>
      </x:c>
    </x:row>
    <x:row r="31" ht="34" customHeight="1">
      <x:c r="A31" s="22" t="n">
        <x:v>27</x:v>
      </x:c>
      <x:c r="B31" s="16" t="str">
        <x:v>fiber_measurement</x:v>
      </x:c>
      <x:c r="C31" s="16" t="str">
        <x:v>fiber_width_um</x:v>
      </x:c>
      <x:c r="D31" s="16" t="str">
        <x:v>纤维宽度</x:v>
      </x:c>
      <x:c r="E31" s="16" t="str">
        <x:v>NUMERIC(10,3)</x:v>
      </x:c>
      <x:c r="F31" s="16" t="str">
        <x:v>—</x:v>
      </x:c>
      <x:c r="G31" s="16" t="str">
        <x:v>是</x:v>
      </x:c>
      <x:c r="H31" s="16" t="str">
        <x:v>μm</x:v>
      </x:c>
      <x:c r="I31" s="16" t="str">
        <x:v>已确认</x:v>
      </x:c>
      <x:c r="J31" s="16" t="str">
        <x:v>非负</x:v>
      </x:c>
      <x:c r="K31" s="16" t="str">
        <x:v>NULL</x:v>
      </x:c>
      <x:c r="L31" s="16" t="str">
        <x:v>保留源表原始精度；缺失值记为NULL</x:v>
      </x:c>
    </x:row>
    <x:row r="32" ht="34" customHeight="1">
      <x:c r="A32" s="22" t="n">
        <x:v>28</x:v>
      </x:c>
      <x:c r="B32" s="16" t="str">
        <x:v>fiber_measurement</x:v>
      </x:c>
      <x:c r="C32" s="16" t="str">
        <x:v>fiber_coarseness_mg_m</x:v>
      </x:c>
      <x:c r="D32" s="16" t="str">
        <x:v>纤维粗度</x:v>
      </x:c>
      <x:c r="E32" s="16" t="str">
        <x:v>NUMERIC(12,6)</x:v>
      </x:c>
      <x:c r="F32" s="16" t="str">
        <x:v>—</x:v>
      </x:c>
      <x:c r="G32" s="16" t="str">
        <x:v>是</x:v>
      </x:c>
      <x:c r="H32" s="16" t="str">
        <x:v>mg/m</x:v>
      </x:c>
      <x:c r="I32" s="16" t="str">
        <x:v>已确认</x:v>
      </x:c>
      <x:c r="J32" s="16" t="str">
        <x:v>非负</x:v>
      </x:c>
      <x:c r="K32" s="16" t="str">
        <x:v>NULL</x:v>
      </x:c>
      <x:c r="L32" s="16" t="str">
        <x:v>保留源表原始精度；缺失值记为NULL</x:v>
      </x:c>
    </x:row>
    <x:row r="33" ht="34" customHeight="1">
      <x:c r="A33" s="22" t="n">
        <x:v>29</x:v>
      </x:c>
      <x:c r="B33" s="16" t="str">
        <x:v>fiber_measurement</x:v>
      </x:c>
      <x:c r="C33" s="16" t="str">
        <x:v>kink_angle_deg</x:v>
      </x:c>
      <x:c r="D33" s="16" t="str">
        <x:v>扭结角</x:v>
      </x:c>
      <x:c r="E33" s="16" t="str">
        <x:v>NUMERIC(8,2)</x:v>
      </x:c>
      <x:c r="F33" s="16" t="str">
        <x:v>—</x:v>
      </x:c>
      <x:c r="G33" s="16" t="str">
        <x:v>是</x:v>
      </x:c>
      <x:c r="H33" s="16" t="str">
        <x:v>°</x:v>
      </x:c>
      <x:c r="I33" s="16" t="str">
        <x:v>已确认</x:v>
      </x:c>
      <x:c r="J33" s="16" t="str">
        <x:v>0至180</x:v>
      </x:c>
      <x:c r="K33" s="16" t="str">
        <x:v>NULL</x:v>
      </x:c>
      <x:c r="L33" s="16" t="str">
        <x:v>保留源表原始精度；缺失值记为NULL</x:v>
      </x:c>
    </x:row>
    <x:row r="34" ht="34" customHeight="1">
      <x:c r="A34" s="22" t="n">
        <x:v>30</x:v>
      </x:c>
      <x:c r="B34" s="16" t="str">
        <x:v>fiber_measurement</x:v>
      </x:c>
      <x:c r="C34" s="16" t="str">
        <x:v>kinked_fiber_pct</x:v>
      </x:c>
      <x:c r="D34" s="16" t="str">
        <x:v>扭结纤维占比</x:v>
      </x:c>
      <x:c r="E34" s="16" t="str">
        <x:v>NUMERIC(8,3)</x:v>
      </x:c>
      <x:c r="F34" s="16" t="str">
        <x:v>—</x:v>
      </x:c>
      <x:c r="G34" s="16" t="str">
        <x:v>是</x:v>
      </x:c>
      <x:c r="H34" s="16" t="str">
        <x:v>%</x:v>
      </x:c>
      <x:c r="I34" s="16" t="str">
        <x:v>已确认</x:v>
      </x:c>
      <x:c r="J34" s="16" t="str">
        <x:v>0至100</x:v>
      </x:c>
      <x:c r="K34" s="16" t="str">
        <x:v>NULL</x:v>
      </x:c>
      <x:c r="L34" s="16" t="str">
        <x:v>保留源表原始精度；缺失值记为NULL</x:v>
      </x:c>
    </x:row>
    <x:row r="35" ht="34" customHeight="1">
      <x:c r="A35" s="22" t="n">
        <x:v>31</x:v>
      </x:c>
      <x:c r="B35" s="16" t="str">
        <x:v>fiber_measurement</x:v>
      </x:c>
      <x:c r="C35" s="16" t="str">
        <x:v>curved_fiber_pct</x:v>
      </x:c>
      <x:c r="D35" s="16" t="str">
        <x:v>弯曲纤维占比</x:v>
      </x:c>
      <x:c r="E35" s="16" t="str">
        <x:v>NUMERIC(8,3)</x:v>
      </x:c>
      <x:c r="F35" s="16" t="str">
        <x:v>—</x:v>
      </x:c>
      <x:c r="G35" s="16" t="str">
        <x:v>是</x:v>
      </x:c>
      <x:c r="H35" s="16" t="str">
        <x:v>%</x:v>
      </x:c>
      <x:c r="I35" s="16" t="str">
        <x:v>已确认</x:v>
      </x:c>
      <x:c r="J35" s="16" t="str">
        <x:v>0至100</x:v>
      </x:c>
      <x:c r="K35" s="16" t="str">
        <x:v>NULL</x:v>
      </x:c>
      <x:c r="L35" s="16" t="str">
        <x:v>保留源表原始精度；缺失值记为NULL</x:v>
      </x:c>
    </x:row>
    <x:row r="36" ht="34" customHeight="1">
      <x:c r="A36" s="22" t="n">
        <x:v>32</x:v>
      </x:c>
      <x:c r="B36" s="16" t="str">
        <x:v>fiber_measurement</x:v>
      </x:c>
      <x:c r="C36" s="16" t="str">
        <x:v>fibrillation_length_pct</x:v>
      </x:c>
      <x:c r="D36" s="16" t="str">
        <x:v>分丝帚化长度比</x:v>
      </x:c>
      <x:c r="E36" s="16" t="str">
        <x:v>NUMERIC(8,3)</x:v>
      </x:c>
      <x:c r="F36" s="16" t="str">
        <x:v>—</x:v>
      </x:c>
      <x:c r="G36" s="16" t="str">
        <x:v>是</x:v>
      </x:c>
      <x:c r="H36" s="16" t="str">
        <x:v>%</x:v>
      </x:c>
      <x:c r="I36" s="16" t="str">
        <x:v>已确认</x:v>
      </x:c>
      <x:c r="J36" s="16" t="str">
        <x:v>0至100</x:v>
      </x:c>
      <x:c r="K36" s="16" t="str">
        <x:v>NULL</x:v>
      </x:c>
      <x:c r="L36" s="16" t="str">
        <x:v>保留源表原始精度；缺失值记为NULL</x:v>
      </x:c>
    </x:row>
    <x:row r="37" ht="34" customHeight="1">
      <x:c r="A37" s="22" t="n">
        <x:v>33</x:v>
      </x:c>
      <x:c r="B37" s="16" t="str">
        <x:v>fiber_measurement</x:v>
      </x:c>
      <x:c r="C37" s="16" t="str">
        <x:v>broken_fiber_pct</x:v>
      </x:c>
      <x:c r="D37" s="16" t="str">
        <x:v>折断纤维比</x:v>
      </x:c>
      <x:c r="E37" s="16" t="str">
        <x:v>NUMERIC(8,3)</x:v>
      </x:c>
      <x:c r="F37" s="16" t="str">
        <x:v>—</x:v>
      </x:c>
      <x:c r="G37" s="16" t="str">
        <x:v>是</x:v>
      </x:c>
      <x:c r="H37" s="16" t="str">
        <x:v>%</x:v>
      </x:c>
      <x:c r="I37" s="16" t="str">
        <x:v>已确认</x:v>
      </x:c>
      <x:c r="J37" s="16" t="str">
        <x:v>0至100</x:v>
      </x:c>
      <x:c r="K37" s="16" t="str">
        <x:v>NULL</x:v>
      </x:c>
      <x:c r="L37" s="16" t="str">
        <x:v>保留源表原始精度；缺失值记为NULL</x:v>
      </x:c>
    </x:row>
    <x:row r="38" ht="34" customHeight="1">
      <x:c r="A38" s="22" t="n">
        <x:v>34</x:v>
      </x:c>
      <x:c r="B38" s="16" t="str">
        <x:v>fiber_measurement</x:v>
      </x:c>
      <x:c r="C38" s="16" t="str">
        <x:v>fines_length_pct</x:v>
      </x:c>
      <x:c r="D38" s="16" t="str">
        <x:v>细小纤维长度比</x:v>
      </x:c>
      <x:c r="E38" s="16" t="str">
        <x:v>NUMERIC(8,3)</x:v>
      </x:c>
      <x:c r="F38" s="16" t="str">
        <x:v>—</x:v>
      </x:c>
      <x:c r="G38" s="16" t="str">
        <x:v>是</x:v>
      </x:c>
      <x:c r="H38" s="16" t="str">
        <x:v>%</x:v>
      </x:c>
      <x:c r="I38" s="16" t="str">
        <x:v>已确认</x:v>
      </x:c>
      <x:c r="J38" s="16" t="str">
        <x:v>0至100</x:v>
      </x:c>
      <x:c r="K38" s="16" t="str">
        <x:v>NULL</x:v>
      </x:c>
      <x:c r="L38" s="16" t="str">
        <x:v>保留源表原始精度；缺失值记为NULL</x:v>
      </x:c>
    </x:row>
    <x:row r="39" ht="34" customHeight="1">
      <x:c r="A39" s="22" t="n">
        <x:v>35</x:v>
      </x:c>
      <x:c r="B39" s="16" t="str">
        <x:v>fiber_measurement</x:v>
      </x:c>
      <x:c r="C39" s="16" t="str">
        <x:v>fines_weighted_length_pct</x:v>
      </x:c>
      <x:c r="D39" s="16" t="str">
        <x:v>细小纤维长度加权比</x:v>
      </x:c>
      <x:c r="E39" s="16" t="str">
        <x:v>NUMERIC(8,3)</x:v>
      </x:c>
      <x:c r="F39" s="16" t="str">
        <x:v>—</x:v>
      </x:c>
      <x:c r="G39" s="16" t="str">
        <x:v>是</x:v>
      </x:c>
      <x:c r="H39" s="16" t="str">
        <x:v>%</x:v>
      </x:c>
      <x:c r="I39" s="16" t="str">
        <x:v>已确认</x:v>
      </x:c>
      <x:c r="J39" s="16" t="str">
        <x:v>0至100</x:v>
      </x:c>
      <x:c r="K39" s="16" t="str">
        <x:v>NULL</x:v>
      </x:c>
      <x:c r="L39" s="16" t="str">
        <x:v>保留源表原始精度；缺失值记为NULL</x:v>
      </x:c>
    </x:row>
    <x:row r="40" ht="34" customHeight="1">
      <x:c r="A40" s="22" t="n">
        <x:v>36</x:v>
      </x:c>
      <x:c r="B40" s="16" t="str">
        <x:v>fiber_measurement</x:v>
      </x:c>
      <x:c r="C40" s="16" t="str">
        <x:v>fines_area_pct</x:v>
      </x:c>
      <x:c r="D40" s="16" t="str">
        <x:v>细小纤维面积比</x:v>
      </x:c>
      <x:c r="E40" s="16" t="str">
        <x:v>NUMERIC(8,3)</x:v>
      </x:c>
      <x:c r="F40" s="16" t="str">
        <x:v>—</x:v>
      </x:c>
      <x:c r="G40" s="16" t="str">
        <x:v>是</x:v>
      </x:c>
      <x:c r="H40" s="16" t="str">
        <x:v>%</x:v>
      </x:c>
      <x:c r="I40" s="16" t="str">
        <x:v>已确认</x:v>
      </x:c>
      <x:c r="J40" s="16" t="str">
        <x:v>0至100</x:v>
      </x:c>
      <x:c r="K40" s="16" t="str">
        <x:v>NULL</x:v>
      </x:c>
      <x:c r="L40" s="16" t="str">
        <x:v>保留源表原始精度；缺失值记为NULL</x:v>
      </x:c>
    </x:row>
    <x:row r="41" ht="34" customHeight="1">
      <x:c r="A41" s="22" t="n">
        <x:v>37</x:v>
      </x:c>
      <x:c r="B41" s="16" t="str">
        <x:v>fiber_measurement</x:v>
      </x:c>
      <x:c r="C41" s="16" t="str">
        <x:v>source_id</x:v>
      </x:c>
      <x:c r="D41" s="16" t="str">
        <x:v>来源编号</x:v>
      </x:c>
      <x:c r="E41" s="16" t="str">
        <x:v>BIGINT</x:v>
      </x:c>
      <x:c r="F41" s="16" t="str">
        <x:v>外键</x:v>
      </x:c>
      <x:c r="G41" s="16" t="str">
        <x:v>否</x:v>
      </x:c>
      <x:c r="H41" s="16" t="str">
        <x:v>—</x:v>
      </x:c>
      <x:c r="I41" s="16" t="str">
        <x:v>不适用</x:v>
      </x:c>
      <x:c r="J41" s="16" t="str">
        <x:v>引用data_source</x:v>
      </x:c>
      <x:c r="K41" s="16" t="str">
        <x:v>—</x:v>
      </x:c>
      <x:c r="L41" s="16" t="str">
        <x:v>追溯纤维特性来源行</x:v>
      </x:c>
    </x:row>
    <x:row r="42" ht="34" customHeight="1">
      <x:c r="A42" s="22" t="n">
        <x:v>38</x:v>
      </x:c>
      <x:c r="B42" s="16" t="str">
        <x:v>paper_measurement</x:v>
      </x:c>
      <x:c r="C42" s="16" t="str">
        <x:v>sample_id</x:v>
      </x:c>
      <x:c r="D42" s="16" t="str">
        <x:v>样本编号</x:v>
      </x:c>
      <x:c r="E42" s="16" t="str">
        <x:v>BIGINT</x:v>
      </x:c>
      <x:c r="F42" s="16" t="str">
        <x:v>主键、外键</x:v>
      </x:c>
      <x:c r="G42" s="16" t="str">
        <x:v>否</x:v>
      </x:c>
      <x:c r="H42" s="16" t="str">
        <x:v>—</x:v>
      </x:c>
      <x:c r="I42" s="16" t="str">
        <x:v>不适用</x:v>
      </x:c>
      <x:c r="J42" s="16" t="str">
        <x:v>引用sample</x:v>
      </x:c>
      <x:c r="K42" s="16" t="str">
        <x:v>—</x:v>
      </x:c>
      <x:c r="L42" s="16" t="str">
        <x:v>每个样本最多一条纸张记录</x:v>
      </x:c>
    </x:row>
    <x:row r="43" ht="34" customHeight="1">
      <x:c r="A43" s="22" t="n">
        <x:v>39</x:v>
      </x:c>
      <x:c r="B43" s="16" t="str">
        <x:v>paper_measurement</x:v>
      </x:c>
      <x:c r="C43" s="16" t="str">
        <x:v>basis_weight_g_m2</x:v>
      </x:c>
      <x:c r="D43" s="16" t="str">
        <x:v>定量</x:v>
      </x:c>
      <x:c r="E43" s="16" t="str">
        <x:v>NUMERIC(10,3)</x:v>
      </x:c>
      <x:c r="F43" s="16" t="str">
        <x:v>—</x:v>
      </x:c>
      <x:c r="G43" s="16" t="str">
        <x:v>是</x:v>
      </x:c>
      <x:c r="H43" s="16" t="str">
        <x:v>g/m²</x:v>
      </x:c>
      <x:c r="I43" s="16" t="str">
        <x:v>已确认</x:v>
      </x:c>
      <x:c r="J43" s="16" t="str">
        <x:v>非负</x:v>
      </x:c>
      <x:c r="K43" s="16" t="str">
        <x:v>NULL</x:v>
      </x:c>
      <x:c r="L43" s="16" t="str">
        <x:v>保存最终均值；不提前筛选变量</x:v>
      </x:c>
    </x:row>
    <x:row r="44" ht="34" customHeight="1">
      <x:c r="A44" s="22" t="n">
        <x:v>40</x:v>
      </x:c>
      <x:c r="B44" s="16" t="str">
        <x:v>paper_measurement</x:v>
      </x:c>
      <x:c r="C44" s="16" t="str">
        <x:v>thickness_um</x:v>
      </x:c>
      <x:c r="D44" s="16" t="str">
        <x:v>厚度</x:v>
      </x:c>
      <x:c r="E44" s="16" t="str">
        <x:v>NUMERIC(10,3)</x:v>
      </x:c>
      <x:c r="F44" s="16" t="str">
        <x:v>—</x:v>
      </x:c>
      <x:c r="G44" s="16" t="str">
        <x:v>是</x:v>
      </x:c>
      <x:c r="H44" s="16" t="str">
        <x:v>μm</x:v>
      </x:c>
      <x:c r="I44" s="16" t="str">
        <x:v>已确认</x:v>
      </x:c>
      <x:c r="J44" s="16" t="str">
        <x:v>非负</x:v>
      </x:c>
      <x:c r="K44" s="16" t="str">
        <x:v>NULL</x:v>
      </x:c>
      <x:c r="L44" s="16" t="str">
        <x:v>保存最终均值；不提前筛选变量</x:v>
      </x:c>
    </x:row>
    <x:row r="45" ht="34" customHeight="1">
      <x:c r="A45" s="22" t="n">
        <x:v>41</x:v>
      </x:c>
      <x:c r="B45" s="16" t="str">
        <x:v>paper_measurement</x:v>
      </x:c>
      <x:c r="C45" s="16" t="str">
        <x:v>burst_index</x:v>
      </x:c>
      <x:c r="D45" s="16" t="str">
        <x:v>耐破指数</x:v>
      </x:c>
      <x:c r="E45" s="16" t="str">
        <x:v>NUMERIC(12,4)</x:v>
      </x:c>
      <x:c r="F45" s="16" t="str">
        <x:v>—</x:v>
      </x:c>
      <x:c r="G45" s="16" t="str">
        <x:v>是</x:v>
      </x:c>
      <x:c r="H45" s="16" t="str">
        <x:v>kPa·m²/g</x:v>
      </x:c>
      <x:c r="I45" s="16" t="str">
        <x:v>已确认</x:v>
      </x:c>
      <x:c r="J45" s="16" t="str">
        <x:v>非负</x:v>
      </x:c>
      <x:c r="K45" s="16" t="str">
        <x:v>NULL</x:v>
      </x:c>
      <x:c r="L45" s="16" t="str">
        <x:v>保存最终均值；不提前筛选变量</x:v>
      </x:c>
    </x:row>
    <x:row r="46" ht="34" customHeight="1">
      <x:c r="A46" s="22" t="n">
        <x:v>42</x:v>
      </x:c>
      <x:c r="B46" s="16" t="str">
        <x:v>paper_measurement</x:v>
      </x:c>
      <x:c r="C46" s="16" t="str">
        <x:v>tear_index</x:v>
      </x:c>
      <x:c r="D46" s="16" t="str">
        <x:v>撕裂指数</x:v>
      </x:c>
      <x:c r="E46" s="16" t="str">
        <x:v>NUMERIC(12,4)</x:v>
      </x:c>
      <x:c r="F46" s="16" t="str">
        <x:v>—</x:v>
      </x:c>
      <x:c r="G46" s="16" t="str">
        <x:v>是</x:v>
      </x:c>
      <x:c r="H46" s="16" t="str">
        <x:v>mN·m²/g</x:v>
      </x:c>
      <x:c r="I46" s="16" t="str">
        <x:v>已确认</x:v>
      </x:c>
      <x:c r="J46" s="16" t="str">
        <x:v>非负</x:v>
      </x:c>
      <x:c r="K46" s="16" t="str">
        <x:v>NULL</x:v>
      </x:c>
      <x:c r="L46" s="16" t="str">
        <x:v>保存最终均值；不提前筛选变量</x:v>
      </x:c>
    </x:row>
    <x:row r="47" ht="34" customHeight="1">
      <x:c r="A47" s="22" t="n">
        <x:v>43</x:v>
      </x:c>
      <x:c r="B47" s="16" t="str">
        <x:v>paper_measurement</x:v>
      </x:c>
      <x:c r="C47" s="16" t="str">
        <x:v>tensile_index</x:v>
      </x:c>
      <x:c r="D47" s="16" t="str">
        <x:v>抗张指数</x:v>
      </x:c>
      <x:c r="E47" s="16" t="str">
        <x:v>NUMERIC(12,4)</x:v>
      </x:c>
      <x:c r="F47" s="16" t="str">
        <x:v>—</x:v>
      </x:c>
      <x:c r="G47" s="16" t="str">
        <x:v>是</x:v>
      </x:c>
      <x:c r="H47" s="16" t="str">
        <x:v>N·m/g</x:v>
      </x:c>
      <x:c r="I47" s="16" t="str">
        <x:v>已确认</x:v>
      </x:c>
      <x:c r="J47" s="16" t="str">
        <x:v>非负</x:v>
      </x:c>
      <x:c r="K47" s="16" t="str">
        <x:v>NULL</x:v>
      </x:c>
      <x:c r="L47" s="16" t="str">
        <x:v>保存最终均值；不提前筛选变量</x:v>
      </x:c>
    </x:row>
    <x:row r="48" ht="34" customHeight="1">
      <x:c r="A48" s="22" t="n">
        <x:v>44</x:v>
      </x:c>
      <x:c r="B48" s="16" t="str">
        <x:v>paper_measurement</x:v>
      </x:c>
      <x:c r="C48" s="16" t="str">
        <x:v>zero_span_tensile</x:v>
      </x:c>
      <x:c r="D48" s="16" t="str">
        <x:v>零距抗张强度</x:v>
      </x:c>
      <x:c r="E48" s="16" t="str">
        <x:v>NUMERIC(12,4)</x:v>
      </x:c>
      <x:c r="F48" s="16" t="str">
        <x:v>—</x:v>
      </x:c>
      <x:c r="G48" s="16" t="str">
        <x:v>是</x:v>
      </x:c>
      <x:c r="H48" s="16" t="str">
        <x:v>N/cm</x:v>
      </x:c>
      <x:c r="I48" s="16" t="str">
        <x:v>已确认</x:v>
      </x:c>
      <x:c r="J48" s="16" t="str">
        <x:v>非负</x:v>
      </x:c>
      <x:c r="K48" s="16" t="str">
        <x:v>NULL</x:v>
      </x:c>
      <x:c r="L48" s="16" t="str">
        <x:v>保存最终均值；不提前筛选变量</x:v>
      </x:c>
    </x:row>
    <x:row r="49" ht="34" customHeight="1">
      <x:c r="A49" s="22" t="n">
        <x:v>45</x:v>
      </x:c>
      <x:c r="B49" s="16" t="str">
        <x:v>paper_measurement</x:v>
      </x:c>
      <x:c r="C49" s="16" t="str">
        <x:v>surface_roughness</x:v>
      </x:c>
      <x:c r="D49" s="16" t="str">
        <x:v>表面粗糙度</x:v>
      </x:c>
      <x:c r="E49" s="16" t="str">
        <x:v>NUMERIC(12,4)</x:v>
      </x:c>
      <x:c r="F49" s="16" t="str">
        <x:v>—</x:v>
      </x:c>
      <x:c r="G49" s="16" t="str">
        <x:v>是</x:v>
      </x:c>
      <x:c r="H49" s="16" t="str">
        <x:v>ml/min</x:v>
      </x:c>
      <x:c r="I49" s="16" t="str">
        <x:v>已确认</x:v>
      </x:c>
      <x:c r="J49" s="16" t="str">
        <x:v>非负</x:v>
      </x:c>
      <x:c r="K49" s="16" t="str">
        <x:v>NULL</x:v>
      </x:c>
      <x:c r="L49" s="16" t="str">
        <x:v>保存最终均值；不提前筛选变量</x:v>
      </x:c>
    </x:row>
    <x:row r="50" ht="34" customHeight="1">
      <x:c r="A50" s="22" t="n">
        <x:v>46</x:v>
      </x:c>
      <x:c r="B50" s="16" t="str">
        <x:v>paper_measurement</x:v>
      </x:c>
      <x:c r="C50" s="16" t="str">
        <x:v>air_permeability</x:v>
      </x:c>
      <x:c r="D50" s="16" t="str">
        <x:v>透气度</x:v>
      </x:c>
      <x:c r="E50" s="16" t="str">
        <x:v>NUMERIC(12,4)</x:v>
      </x:c>
      <x:c r="F50" s="16" t="str">
        <x:v>—</x:v>
      </x:c>
      <x:c r="G50" s="16" t="str">
        <x:v>是</x:v>
      </x:c>
      <x:c r="H50" s="16" t="str">
        <x:v>μm/(Pa·s)</x:v>
      </x:c>
      <x:c r="I50" s="16" t="str">
        <x:v>设计暂定</x:v>
      </x:c>
      <x:c r="J50" s="16" t="str">
        <x:v>非负</x:v>
      </x:c>
      <x:c r="K50" s="16" t="str">
        <x:v>NULL</x:v>
      </x:c>
      <x:c r="L50" s="16" t="str">
        <x:v>保存最终均值；不提前筛选变量</x:v>
      </x:c>
    </x:row>
    <x:row r="51" ht="34" customHeight="1">
      <x:c r="A51" s="22" t="n">
        <x:v>47</x:v>
      </x:c>
      <x:c r="B51" s="16" t="str">
        <x:v>paper_measurement</x:v>
      </x:c>
      <x:c r="C51" s="16" t="str">
        <x:v>folding_endurance_raw</x:v>
      </x:c>
      <x:c r="D51" s="16" t="str">
        <x:v>耐折度原始值</x:v>
      </x:c>
      <x:c r="E51" s="16" t="str">
        <x:v>NUMERIC(12,4)</x:v>
      </x:c>
      <x:c r="F51" s="16" t="str">
        <x:v>—</x:v>
      </x:c>
      <x:c r="G51" s="16" t="str">
        <x:v>是</x:v>
      </x:c>
      <x:c r="H51" s="16" t="str">
        <x:v>待确认</x:v>
      </x:c>
      <x:c r="I51" s="16" t="str">
        <x:v>待确认</x:v>
      </x:c>
      <x:c r="J51" s="16" t="str">
        <x:v>非负</x:v>
      </x:c>
      <x:c r="K51" s="16" t="str">
        <x:v>NULL</x:v>
      </x:c>
      <x:c r="L51" s="16" t="str">
        <x:v>保存最终均值；不提前筛选变量</x:v>
      </x:c>
    </x:row>
    <x:row r="52" ht="34" customHeight="1">
      <x:c r="A52" s="22" t="n">
        <x:v>48</x:v>
      </x:c>
      <x:c r="B52" s="16" t="str">
        <x:v>paper_measurement</x:v>
      </x:c>
      <x:c r="C52" s="16" t="str">
        <x:v>replicate_count</x:v>
      </x:c>
      <x:c r="D52" s="16" t="str">
        <x:v>平行测量次数</x:v>
      </x:c>
      <x:c r="E52" s="16" t="str">
        <x:v>SMALLINT</x:v>
      </x:c>
      <x:c r="F52" s="16" t="str">
        <x:v>—</x:v>
      </x:c>
      <x:c r="G52" s="16" t="str">
        <x:v>否</x:v>
      </x:c>
      <x:c r="H52" s="16" t="str">
        <x:v>次</x:v>
      </x:c>
      <x:c r="I52" s="16" t="str">
        <x:v>已确认</x:v>
      </x:c>
      <x:c r="J52" s="16" t="str">
        <x:v>固定为3</x:v>
      </x:c>
      <x:c r="K52" s="16" t="str">
        <x:v>3</x:v>
      </x:c>
      <x:c r="L52" s="16" t="str">
        <x:v>记录最终均值对应的测量次数</x:v>
      </x:c>
    </x:row>
    <x:row r="53" ht="34" customHeight="1">
      <x:c r="A53" s="22" t="n">
        <x:v>49</x:v>
      </x:c>
      <x:c r="B53" s="16" t="str">
        <x:v>paper_measurement</x:v>
      </x:c>
      <x:c r="C53" s="16" t="str">
        <x:v>aggregation_method</x:v>
      </x:c>
      <x:c r="D53" s="16" t="str">
        <x:v>聚合方法</x:v>
      </x:c>
      <x:c r="E53" s="16" t="str">
        <x:v>VARCHAR(64)</x:v>
      </x:c>
      <x:c r="F53" s="16" t="str">
        <x:v>—</x:v>
      </x:c>
      <x:c r="G53" s="16" t="str">
        <x:v>否</x:v>
      </x:c>
      <x:c r="H53" s="16" t="str">
        <x:v>—</x:v>
      </x:c>
      <x:c r="I53" s="16" t="str">
        <x:v>不适用</x:v>
      </x:c>
      <x:c r="J53" s="16" t="str">
        <x:v>非空</x:v>
      </x:c>
      <x:c r="K53" s="16" t="str">
        <x:v>剔除偏差值后取最终均值</x:v>
      </x:c>
      <x:c r="L53" s="16" t="str">
        <x:v>记录最终值的形成方式</x:v>
      </x:c>
    </x:row>
    <x:row r="54" ht="34" customHeight="1">
      <x:c r="A54" s="22" t="n">
        <x:v>50</x:v>
      </x:c>
      <x:c r="B54" s="16" t="str">
        <x:v>paper_measurement</x:v>
      </x:c>
      <x:c r="C54" s="16" t="str">
        <x:v>source_id</x:v>
      </x:c>
      <x:c r="D54" s="16" t="str">
        <x:v>来源编号</x:v>
      </x:c>
      <x:c r="E54" s="16" t="str">
        <x:v>BIGINT</x:v>
      </x:c>
      <x:c r="F54" s="16" t="str">
        <x:v>外键</x:v>
      </x:c>
      <x:c r="G54" s="16" t="str">
        <x:v>否</x:v>
      </x:c>
      <x:c r="H54" s="16" t="str">
        <x:v>—</x:v>
      </x:c>
      <x:c r="I54" s="16" t="str">
        <x:v>不适用</x:v>
      </x:c>
      <x:c r="J54" s="16" t="str">
        <x:v>引用data_source</x:v>
      </x:c>
      <x:c r="K54" s="16" t="str">
        <x:v>—</x:v>
      </x:c>
      <x:c r="L54" s="16" t="str">
        <x:v>追溯纸张性能来源行</x:v>
      </x:c>
    </x:row>
    <x:row r="55" ht="34" customHeight="1">
      <x:c r="A55" s="22" t="n">
        <x:v>51</x:v>
      </x:c>
      <x:c r="B55" s="16" t="str">
        <x:v>data_source</x:v>
      </x:c>
      <x:c r="C55" s="16" t="str">
        <x:v>source_id</x:v>
      </x:c>
      <x:c r="D55" s="16" t="str">
        <x:v>来源编号</x:v>
      </x:c>
      <x:c r="E55" s="16" t="str">
        <x:v>BIGINT</x:v>
      </x:c>
      <x:c r="F55" s="16" t="str">
        <x:v>主键</x:v>
      </x:c>
      <x:c r="G55" s="16" t="str">
        <x:v>否</x:v>
      </x:c>
      <x:c r="H55" s="16" t="str">
        <x:v>—</x:v>
      </x:c>
      <x:c r="I55" s="16" t="str">
        <x:v>不适用</x:v>
      </x:c>
      <x:c r="J55" s="16" t="str">
        <x:v>&gt; 0</x:v>
      </x:c>
      <x:c r="K55" s="16" t="str">
        <x:v>IDENTITY</x:v>
      </x:c>
      <x:c r="L55" s="16" t="str">
        <x:v>每个正式来源数据行的内部编号</x:v>
      </x:c>
    </x:row>
    <x:row r="56" ht="34" customHeight="1">
      <x:c r="A56" s="22" t="n">
        <x:v>52</x:v>
      </x:c>
      <x:c r="B56" s="16" t="str">
        <x:v>data_source</x:v>
      </x:c>
      <x:c r="C56" s="16" t="str">
        <x:v>file_name</x:v>
      </x:c>
      <x:c r="D56" s="16" t="str">
        <x:v>来源文件名</x:v>
      </x:c>
      <x:c r="E56" s="16" t="str">
        <x:v>VARCHAR(255)</x:v>
      </x:c>
      <x:c r="F56" s="16" t="str">
        <x:v>—</x:v>
      </x:c>
      <x:c r="G56" s="16" t="str">
        <x:v>否</x:v>
      </x:c>
      <x:c r="H56" s="16" t="str">
        <x:v>—</x:v>
      </x:c>
      <x:c r="I56" s="16" t="str">
        <x:v>不适用</x:v>
      </x:c>
      <x:c r="J56" s="16" t="str">
        <x:v>必须属于8份正式文件</x:v>
      </x:c>
      <x:c r="K56" s="16" t="str">
        <x:v>—</x:v>
      </x:c>
      <x:c r="L56" s="16" t="str">
        <x:v>保留完整原始文件名</x:v>
      </x:c>
    </x:row>
    <x:row r="57" ht="34" customHeight="1">
      <x:c r="A57" s="22" t="n">
        <x:v>53</x:v>
      </x:c>
      <x:c r="B57" s="16" t="str">
        <x:v>data_source</x:v>
      </x:c>
      <x:c r="C57" s="16" t="str">
        <x:v>sheet_name</x:v>
      </x:c>
      <x:c r="D57" s="16" t="str">
        <x:v>来源工作表</x:v>
      </x:c>
      <x:c r="E57" s="16" t="str">
        <x:v>VARCHAR(128)</x:v>
      </x:c>
      <x:c r="F57" s="16" t="str">
        <x:v>—</x:v>
      </x:c>
      <x:c r="G57" s="16" t="str">
        <x:v>否</x:v>
      </x:c>
      <x:c r="H57" s="16" t="str">
        <x:v>—</x:v>
      </x:c>
      <x:c r="I57" s="16" t="str">
        <x:v>不适用</x:v>
      </x:c>
      <x:c r="J57" s="16" t="str">
        <x:v>当前仅Sheet1</x:v>
      </x:c>
      <x:c r="K57" s="16" t="str">
        <x:v>—</x:v>
      </x:c>
      <x:c r="L57" s="16" t="str">
        <x:v>有效工作表名称</x:v>
      </x:c>
    </x:row>
    <x:row r="58" ht="34" customHeight="1">
      <x:c r="A58" s="22" t="n">
        <x:v>54</x:v>
      </x:c>
      <x:c r="B58" s="16" t="str">
        <x:v>data_source</x:v>
      </x:c>
      <x:c r="C58" s="16" t="str">
        <x:v>source_row</x:v>
      </x:c>
      <x:c r="D58" s="16" t="str">
        <x:v>原始行号</x:v>
      </x:c>
      <x:c r="E58" s="16" t="str">
        <x:v>INTEGER</x:v>
      </x:c>
      <x:c r="F58" s="16" t="str">
        <x:v>—</x:v>
      </x:c>
      <x:c r="G58" s="16" t="str">
        <x:v>否</x:v>
      </x:c>
      <x:c r="H58" s="16" t="str">
        <x:v>行</x:v>
      </x:c>
      <x:c r="I58" s="16" t="str">
        <x:v>已确认</x:v>
      </x:c>
      <x:c r="J58" s="16" t="str">
        <x:v>&gt;= 2</x:v>
      </x:c>
      <x:c r="K58" s="16" t="str">
        <x:v>—</x:v>
      </x:c>
      <x:c r="L58" s="16" t="str">
        <x:v>Excel中的实际数据行号</x:v>
      </x:c>
    </x:row>
    <x:row r="59" ht="34" customHeight="1">
      <x:c r="A59" s="22" t="n">
        <x:v>55</x:v>
      </x:c>
      <x:c r="B59" s="16" t="str">
        <x:v>data_source</x:v>
      </x:c>
      <x:c r="C59" s="16" t="str">
        <x:v>source_version</x:v>
      </x:c>
      <x:c r="D59" s="16" t="str">
        <x:v>来源版本</x:v>
      </x:c>
      <x:c r="E59" s="16" t="str">
        <x:v>VARCHAR(32)</x:v>
      </x:c>
      <x:c r="F59" s="16" t="str">
        <x:v>—</x:v>
      </x:c>
      <x:c r="G59" s="16" t="str">
        <x:v>否</x:v>
      </x:c>
      <x:c r="H59" s="16" t="str">
        <x:v>—</x:v>
      </x:c>
      <x:c r="I59" s="16" t="str">
        <x:v>不适用</x:v>
      </x:c>
      <x:c r="J59" s="16" t="str">
        <x:v>原始版或0110</x:v>
      </x:c>
      <x:c r="K59" s="16" t="str">
        <x:v>—</x:v>
      </x:c>
      <x:c r="L59" s="16" t="str">
        <x:v>用于阻止复配旧版进入正式库</x:v>
      </x:c>
    </x:row>
    <x:row r="60" ht="34" customHeight="1">
      <x:c r="A60" s="22" t="n">
        <x:v>56</x:v>
      </x:c>
      <x:c r="B60" s="16" t="str">
        <x:v>data_source</x:v>
      </x:c>
      <x:c r="C60" s="16" t="str">
        <x:v>imported_at</x:v>
      </x:c>
      <x:c r="D60" s="16" t="str">
        <x:v>导入时间</x:v>
      </x:c>
      <x:c r="E60" s="16" t="str">
        <x:v>TIMESTAMPTZ</x:v>
      </x:c>
      <x:c r="F60" s="16" t="str">
        <x:v>—</x:v>
      </x:c>
      <x:c r="G60" s="16" t="str">
        <x:v>否</x:v>
      </x:c>
      <x:c r="H60" s="16" t="str">
        <x:v>—</x:v>
      </x:c>
      <x:c r="I60" s="16" t="str">
        <x:v>不适用</x:v>
      </x:c>
      <x:c r="J60" s="16" t="str">
        <x:v>有效时间戳</x:v>
      </x:c>
      <x:c r="K60" s="16" t="str">
        <x:v>CURRENT_TIMESTAMP</x:v>
      </x:c>
      <x:c r="L60" s="16" t="str">
        <x:v>PostgreSQL带时区时间</x:v>
      </x:c>
    </x:row>
  </x:sheetData>
  <x:mergeCells>
    <x:mergeCell ref="A1:L1"/>
    <x:mergeCell ref="A2:L2"/>
  </x:mergeCells>
  <x:conditionalFormatting sqref="I5:I60">
    <x:cfRule type="containsText" dxfId="2" priority="1" operator="containsText" text="待确认"/>
    <x:cfRule type="containsText" dxfId="3" priority="2" operator="containsText" text="设计暂定"/>
  </x:conditionalFormatting>
  <x:dataValidations count="2">
    <x:dataValidation type="list" sqref="G5:G60">
      <x:formula1>"是,否"</x:formula1>
    </x:dataValidation>
    <x:dataValidation type="list" sqref="I5:I60">
      <x:formula1>"已确认,设计暂定,待确认,不适用"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9b7f86fcc74c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12" hidden="0" customWidth="1"/>
    <x:col min="5" max="5" width="11" hidden="0" customWidth="1"/>
    <x:col min="6" max="6" width="34" hidden="0" customWidth="1"/>
    <x:col min="7" max="7" width="22" hidden="0" customWidth="1"/>
    <x:col min="8" max="8" width="16" hidden="0" customWidth="1"/>
    <x:col min="9" max="9" width="25" hidden="0" customWidth="1"/>
    <x:col min="10" max="10" width="31" hidden="0" customWidth="1"/>
    <x:col min="11" max="11" width="50" hidden="0" customWidth="1"/>
    <x:col min="12" max="12" width="31" hidden="0" customWidth="1"/>
    <x:col min="13" max="13" width="38" hidden="0" customWidth="1"/>
    <x:col min="14" max="14" width="42" hidden="0" customWidth="1"/>
    <x:col min="15" max="15" width="11" hidden="0" customWidth="1"/>
    <x:col min="16" max="16" width="27" hidden="0" customWidth="1"/>
  </x:cols>
  <x:sheetData>
    <x:row r="1" ht="32" customHeight="1">
      <x:c r="A1" s="3" t="str">
        <x:v>植物纤维数据库｜Excel列到PostgreSQL字段入库映射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6" customHeight="1">
      <x:c r="A2" s="7" t="str">
        <x:v>共176条直接、派生、关联、校验和排除规则｜不建立独立隔离区；校验通过后在事务中写入正式表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21" t="str">
        <x:v>映射ID</x:v>
      </x:c>
      <x:c r="B4" s="21" t="str">
        <x:v>来源文件</x:v>
      </x:c>
      <x:c r="C4" s="21" t="str">
        <x:v>版本</x:v>
      </x:c>
      <x:c r="D4" s="21" t="str">
        <x:v>工作表</x:v>
      </x:c>
      <x:c r="E4" s="21" t="str">
        <x:v>原始列序号</x:v>
      </x:c>
      <x:c r="F4" s="21" t="str">
        <x:v>原始列名</x:v>
      </x:c>
      <x:c r="G4" s="21" t="str">
        <x:v>原始单位</x:v>
      </x:c>
      <x:c r="H4" s="21" t="str">
        <x:v>映射类别</x:v>
      </x:c>
      <x:c r="I4" s="21" t="str">
        <x:v>目标表</x:v>
      </x:c>
      <x:c r="J4" s="21" t="str">
        <x:v>目标字段</x:v>
      </x:c>
      <x:c r="K4" s="21" t="str">
        <x:v>转换或生成规则</x:v>
      </x:c>
      <x:c r="L4" s="21" t="str">
        <x:v>空值处理</x:v>
      </x:c>
      <x:c r="M4" s="21" t="str">
        <x:v>校验规则</x:v>
      </x:c>
      <x:c r="N4" s="21" t="str">
        <x:v>重复或冲突处理</x:v>
      </x:c>
      <x:c r="O4" s="21" t="str">
        <x:v>是否导入</x:v>
      </x:c>
      <x:c r="P4" s="21" t="str">
        <x:v>备注</x:v>
      </x:c>
    </x:row>
    <x:row r="5" ht="34" customHeight="1">
      <x:c r="A5" s="16" t="str">
        <x:v>M001</x:v>
      </x:c>
      <x:c r="B5" s="16" t="str">
        <x:v>针叶木-打浆转数-打浆度(1).xlsx</x:v>
      </x:c>
      <x:c r="C5" s="16" t="str">
        <x:v>原始版</x:v>
      </x:c>
      <x:c r="D5" s="16" t="str">
        <x:v>Sheet1</x:v>
      </x:c>
      <x:c r="E5" s="22" t="n">
        <x:v>0</x:v>
      </x:c>
      <x:c r="F5" s="16" t="str">
        <x:v>〈文件名〉</x:v>
      </x:c>
      <x:c r="G5" s="16" t="str">
        <x:v>—</x:v>
      </x:c>
      <x:c r="H5" s="16" t="str">
        <x:v>来源元数据</x:v>
      </x:c>
      <x:c r="I5" s="16" t="str">
        <x:v>data_source</x:v>
      </x:c>
      <x:c r="J5" s="16" t="str">
        <x:v>file_name</x:v>
      </x:c>
      <x:c r="K5" s="16" t="str">
        <x:v>写入当前原始文件名</x:v>
      </x:c>
      <x:c r="L5" s="16" t="str">
        <x:v>禁止为空</x:v>
      </x:c>
      <x:c r="M5" s="16" t="str">
        <x:v>必须在正式来源白名单中</x:v>
      </x:c>
      <x:c r="N5" s="16" t="str">
        <x:v>旧复配版或汇总文件立即终止该批</x:v>
      </x:c>
      <x:c r="O5" s="16" t="str">
        <x:v>是</x:v>
      </x:c>
      <x:c r="P5" s="16" t="str"/>
    </x:row>
    <x:row r="6" ht="34" customHeight="1">
      <x:c r="A6" s="16" t="str">
        <x:v>M002</x:v>
      </x:c>
      <x:c r="B6" s="16" t="str">
        <x:v>针叶木-打浆转数-打浆度(1).xlsx</x:v>
      </x:c>
      <x:c r="C6" s="16" t="str">
        <x:v>原始版</x:v>
      </x:c>
      <x:c r="D6" s="16" t="str">
        <x:v>Sheet1</x:v>
      </x:c>
      <x:c r="E6" s="22" t="n">
        <x:v>0</x:v>
      </x:c>
      <x:c r="F6" s="16" t="str">
        <x:v>〈工作表名〉</x:v>
      </x:c>
      <x:c r="G6" s="16" t="str">
        <x:v>—</x:v>
      </x:c>
      <x:c r="H6" s="16" t="str">
        <x:v>来源元数据</x:v>
      </x:c>
      <x:c r="I6" s="16" t="str">
        <x:v>data_source</x:v>
      </x:c>
      <x:c r="J6" s="16" t="str">
        <x:v>sheet_name</x:v>
      </x:c>
      <x:c r="K6" s="16" t="str">
        <x:v>固定写入Sheet1</x:v>
      </x:c>
      <x:c r="L6" s="16" t="str">
        <x:v>禁止为空</x:v>
      </x:c>
      <x:c r="M6" s="16" t="str">
        <x:v>仅允许有效工作表Sheet1</x:v>
      </x:c>
      <x:c r="N6" s="16" t="str">
        <x:v>空白Sheet2/Sheet3不处理</x:v>
      </x:c>
      <x:c r="O6" s="16" t="str">
        <x:v>是</x:v>
      </x:c>
      <x:c r="P6" s="16" t="str"/>
    </x:row>
    <x:row r="7" ht="34" customHeight="1">
      <x:c r="A7" s="16" t="str">
        <x:v>M003</x:v>
      </x:c>
      <x:c r="B7" s="16" t="str">
        <x:v>针叶木-打浆转数-打浆度(1).xlsx</x:v>
      </x:c>
      <x:c r="C7" s="16" t="str">
        <x:v>原始版</x:v>
      </x:c>
      <x:c r="D7" s="16" t="str">
        <x:v>Sheet1</x:v>
      </x:c>
      <x:c r="E7" s="22" t="n">
        <x:v>0</x:v>
      </x:c>
      <x:c r="F7" s="16" t="str">
        <x:v>〈Excel行号〉</x:v>
      </x:c>
      <x:c r="G7" s="16" t="str">
        <x:v>行</x:v>
      </x:c>
      <x:c r="H7" s="16" t="str">
        <x:v>系统生成</x:v>
      </x:c>
      <x:c r="I7" s="16" t="str">
        <x:v>data_source</x:v>
      </x:c>
      <x:c r="J7" s="16" t="str">
        <x:v>source_row</x:v>
      </x:c>
      <x:c r="K7" s="16" t="str">
        <x:v>写入原始数据所在Excel实际行号</x:v>
      </x:c>
      <x:c r="L7" s="16" t="str">
        <x:v>禁止为空</x:v>
      </x:c>
      <x:c r="M7" s="16" t="str">
        <x:v>&gt;=2且为整数</x:v>
      </x:c>
      <x:c r="N7" s="16" t="str">
        <x:v>同文件、工作表、行号不得重复</x:v>
      </x:c>
      <x:c r="O7" s="16" t="str">
        <x:v>是</x:v>
      </x:c>
      <x:c r="P7" s="16" t="str"/>
    </x:row>
    <x:row r="8" ht="34" customHeight="1">
      <x:c r="A8" s="16" t="str">
        <x:v>M004</x:v>
      </x:c>
      <x:c r="B8" s="16" t="str">
        <x:v>针叶木-打浆转数-打浆度(1).xlsx</x:v>
      </x:c>
      <x:c r="C8" s="16" t="str">
        <x:v>原始版</x:v>
      </x:c>
      <x:c r="D8" s="16" t="str">
        <x:v>Sheet1</x:v>
      </x:c>
      <x:c r="E8" s="22" t="n">
        <x:v>0</x:v>
      </x:c>
      <x:c r="F8" s="16" t="str">
        <x:v>〈来源版本〉</x:v>
      </x:c>
      <x:c r="G8" s="16" t="str">
        <x:v>—</x:v>
      </x:c>
      <x:c r="H8" s="16" t="str">
        <x:v>文件上下文</x:v>
      </x:c>
      <x:c r="I8" s="16" t="str">
        <x:v>data_source</x:v>
      </x:c>
      <x:c r="J8" s="16" t="str">
        <x:v>source_version</x:v>
      </x:c>
      <x:c r="K8" s="16" t="str">
        <x:v>固定写入原始版</x:v>
      </x:c>
      <x:c r="L8" s="16" t="str">
        <x:v>禁止为空</x:v>
      </x:c>
      <x:c r="M8" s="16" t="str">
        <x:v>复配文件必须为0110</x:v>
      </x:c>
      <x:c r="N8" s="16" t="str">
        <x:v>旧版不得覆盖0110</x:v>
      </x:c>
      <x:c r="O8" s="16" t="str">
        <x:v>是</x:v>
      </x:c>
      <x:c r="P8" s="16" t="str"/>
    </x:row>
    <x:row r="9" ht="34" customHeight="1">
      <x:c r="A9" s="16" t="str">
        <x:v>M005</x:v>
      </x:c>
      <x:c r="B9" s="16" t="str">
        <x:v>针叶木-打浆转数-打浆度(1).xlsx</x:v>
      </x:c>
      <x:c r="C9" s="16" t="str">
        <x:v>原始版</x:v>
      </x:c>
      <x:c r="D9" s="16" t="str">
        <x:v>Sheet1</x:v>
      </x:c>
      <x:c r="E9" s="22" t="n">
        <x:v>0</x:v>
      </x:c>
      <x:c r="F9" s="16" t="str">
        <x:v>〈导入时间〉</x:v>
      </x:c>
      <x:c r="G9" s="16" t="str">
        <x:v>—</x:v>
      </x:c>
      <x:c r="H9" s="16" t="str">
        <x:v>系统生成</x:v>
      </x:c>
      <x:c r="I9" s="16" t="str">
        <x:v>data_source</x:v>
      </x:c>
      <x:c r="J9" s="16" t="str">
        <x:v>imported_at</x:v>
      </x:c>
      <x:c r="K9" s="16" t="str">
        <x:v>由PostgreSQL CURRENT_TIMESTAMP生成</x:v>
      </x:c>
      <x:c r="L9" s="16" t="str">
        <x:v>禁止为空</x:v>
      </x:c>
      <x:c r="M9" s="16" t="str">
        <x:v>TIMESTAMPTZ有效值</x:v>
      </x:c>
      <x:c r="N9" s="16" t="str">
        <x:v>不从Excel读取</x:v>
      </x:c>
      <x:c r="O9" s="16" t="str">
        <x:v>是</x:v>
      </x:c>
      <x:c r="P9" s="16" t="str"/>
    </x:row>
    <x:row r="10" ht="34" customHeight="1">
      <x:c r="A10" s="16" t="str">
        <x:v>M006</x:v>
      </x:c>
      <x:c r="B10" s="16" t="str">
        <x:v>针叶木-打浆转数-打浆度(1).xlsx</x:v>
      </x:c>
      <x:c r="C10" s="16" t="str">
        <x:v>原始版</x:v>
      </x:c>
      <x:c r="D10" s="16" t="str">
        <x:v>Sheet1</x:v>
      </x:c>
      <x:c r="E10" s="22" t="n">
        <x:v>1</x:v>
      </x:c>
      <x:c r="F10" s="16" t="str">
        <x:v>序号</x:v>
      </x:c>
      <x:c r="G10" s="16" t="str">
        <x:v>—</x:v>
      </x:c>
      <x:c r="H10" s="16" t="str">
        <x:v>直接/生成</x:v>
      </x:c>
      <x:c r="I10" s="16" t="str">
        <x:v>experiment_sample</x:v>
      </x:c>
      <x:c r="J10" s="16" t="str">
        <x:v>display_code</x:v>
      </x:c>
      <x:c r="K10" s="16" t="str">
        <x:v>转为文本作为实验内编号</x:v>
      </x:c>
      <x:c r="L10" s="16" t="str">
        <x:v>禁止为空</x:v>
      </x:c>
      <x:c r="M10" s="16" t="str">
        <x:v>正整数且实验内唯一</x:v>
      </x:c>
      <x:c r="N10" s="16" t="str">
        <x:v>打浆度文件为展示点权威来源</x:v>
      </x:c>
      <x:c r="O10" s="16" t="str">
        <x:v>是</x:v>
      </x:c>
      <x:c r="P10" s="16" t="str"/>
    </x:row>
    <x:row r="11" ht="34" customHeight="1">
      <x:c r="A11" s="16" t="str">
        <x:v>M007</x:v>
      </x:c>
      <x:c r="B11" s="16" t="str">
        <x:v>针叶木-打浆转数-打浆度(1).xlsx</x:v>
      </x:c>
      <x:c r="C11" s="16" t="str">
        <x:v>原始版</x:v>
      </x:c>
      <x:c r="D11" s="16" t="str">
        <x:v>Sheet1</x:v>
      </x:c>
      <x:c r="E11" s="22" t="n">
        <x:v>1</x:v>
      </x:c>
      <x:c r="F11" s="16" t="str">
        <x:v>序号</x:v>
      </x:c>
      <x:c r="G11" s="16" t="str">
        <x:v>—</x:v>
      </x:c>
      <x:c r="H11" s="16" t="str">
        <x:v>直接</x:v>
      </x:c>
      <x:c r="I11" s="16" t="str">
        <x:v>experiment_sample</x:v>
      </x:c>
      <x:c r="J11" s="16" t="str">
        <x:v>display_order</x:v>
      </x:c>
      <x:c r="K11" s="16" t="str">
        <x:v>转为整数</x:v>
      </x:c>
      <x:c r="L11" s="16" t="str">
        <x:v>禁止为空</x:v>
      </x:c>
      <x:c r="M11" s="16" t="str">
        <x:v>&gt;0且连续递增</x:v>
      </x:c>
      <x:c r="N11" s="16" t="str">
        <x:v>与display_code顺序一致</x:v>
      </x:c>
      <x:c r="O11" s="16" t="str">
        <x:v>是</x:v>
      </x:c>
      <x:c r="P11" s="16" t="str"/>
    </x:row>
    <x:row r="12" ht="34" customHeight="1">
      <x:c r="A12" s="16" t="str">
        <x:v>M008</x:v>
      </x:c>
      <x:c r="B12" s="16" t="str">
        <x:v>针叶木-打浆转数-打浆度(1).xlsx</x:v>
      </x:c>
      <x:c r="C12" s="16" t="str">
        <x:v>原始版</x:v>
      </x:c>
      <x:c r="D12" s="16" t="str">
        <x:v>Sheet1</x:v>
      </x:c>
      <x:c r="E12" s="22" t="n">
        <x:v>2</x:v>
      </x:c>
      <x:c r="F12" s="16" t="str">
        <x:v>打浆转数</x:v>
      </x:c>
      <x:c r="G12" s="16" t="str">
        <x:v>r</x:v>
      </x:c>
      <x:c r="H12" s="16" t="str">
        <x:v>直接</x:v>
      </x:c>
      <x:c r="I12" s="16" t="str">
        <x:v>sample_component</x:v>
      </x:c>
      <x:c r="J12" s="16" t="str">
        <x:v>beating_revolutions</x:v>
      </x:c>
      <x:c r="K12" s="16" t="str">
        <x:v>转为整数</x:v>
      </x:c>
      <x:c r="L12" s="16" t="str">
        <x:v>禁止为空</x:v>
      </x:c>
      <x:c r="M12" s="16" t="str">
        <x:v>&gt;=0</x:v>
      </x:c>
      <x:c r="N12" s="16" t="str">
        <x:v>同材种同转数只能定位一个样本</x:v>
      </x:c>
      <x:c r="O12" s="16" t="str">
        <x:v>是</x:v>
      </x:c>
      <x:c r="P12" s="16" t="str"/>
    </x:row>
    <x:row r="13" ht="34" customHeight="1">
      <x:c r="A13" s="16" t="str">
        <x:v>M009</x:v>
      </x:c>
      <x:c r="B13" s="16" t="str">
        <x:v>针叶木-打浆转数-打浆度(1).xlsx</x:v>
      </x:c>
      <x:c r="C13" s="16" t="str">
        <x:v>原始版</x:v>
      </x:c>
      <x:c r="D13" s="16" t="str">
        <x:v>Sheet1</x:v>
      </x:c>
      <x:c r="E13" s="22" t="n">
        <x:v>3</x:v>
      </x:c>
      <x:c r="F13" s="16" t="str">
        <x:v>打浆度</x:v>
      </x:c>
      <x:c r="G13" s="16" t="str">
        <x:v>°SR</x:v>
      </x:c>
      <x:c r="H13" s="16" t="str">
        <x:v>直接</x:v>
      </x:c>
      <x:c r="I13" s="16" t="str">
        <x:v>sample_component</x:v>
      </x:c>
      <x:c r="J13" s="16" t="str">
        <x:v>beating_degree_sr</x:v>
      </x:c>
      <x:c r="K13" s="16" t="str">
        <x:v>转为NUMERIC(5,1)</x:v>
      </x:c>
      <x:c r="L13" s="16" t="str">
        <x:v>禁止为空</x:v>
      </x:c>
      <x:c r="M13" s="16" t="str">
        <x:v>&gt;=0</x:v>
      </x:c>
      <x:c r="N13" s="16" t="str">
        <x:v>打浆度文件为权威值</x:v>
      </x:c>
      <x:c r="O13" s="16" t="str">
        <x:v>是</x:v>
      </x:c>
      <x:c r="P13" s="16" t="str"/>
    </x:row>
    <x:row r="14" ht="34" customHeight="1">
      <x:c r="A14" s="16" t="str">
        <x:v>M010</x:v>
      </x:c>
      <x:c r="B14" s="16" t="str">
        <x:v>针叶木-打浆转数-打浆度(1).xlsx</x:v>
      </x:c>
      <x:c r="C14" s="16" t="str">
        <x:v>原始版</x:v>
      </x:c>
      <x:c r="D14" s="16" t="str">
        <x:v>Sheet1</x:v>
      </x:c>
      <x:c r="E14" s="22" t="n">
        <x:v>0</x:v>
      </x:c>
      <x:c r="F14" s="16" t="str">
        <x:v>〈材种+打浆转数〉</x:v>
      </x:c>
      <x:c r="G14" s="16" t="str">
        <x:v>—</x:v>
      </x:c>
      <x:c r="H14" s="16" t="str">
        <x:v>派生</x:v>
      </x:c>
      <x:c r="I14" s="16" t="str">
        <x:v>sample</x:v>
      </x:c>
      <x:c r="J14" s="16" t="str">
        <x:v>canonical_code</x:v>
      </x:c>
      <x:c r="K14" s="16" t="str">
        <x:v>生成SW_R{转数5位补零}</x:v>
      </x:c>
      <x:c r="L14" s="16" t="str">
        <x:v>禁止为空</x:v>
      </x:c>
      <x:c r="M14" s="16" t="str">
        <x:v>全库唯一</x:v>
      </x:c>
      <x:c r="N14" s="16" t="str">
        <x:v>已存在则复用，不新建重复样本</x:v>
      </x:c>
      <x:c r="O14" s="16" t="str">
        <x:v>是</x:v>
      </x:c>
      <x:c r="P14" s="16" t="str"/>
    </x:row>
    <x:row r="15" ht="34" customHeight="1">
      <x:c r="A15" s="16" t="str">
        <x:v>M011</x:v>
      </x:c>
      <x:c r="B15" s="16" t="str">
        <x:v>针叶木-打浆转数-打浆度(1).xlsx</x:v>
      </x:c>
      <x:c r="C15" s="16" t="str">
        <x:v>原始版</x:v>
      </x:c>
      <x:c r="D15" s="16" t="str">
        <x:v>Sheet1</x:v>
      </x:c>
      <x:c r="E15" s="22" t="n">
        <x:v>0</x:v>
      </x:c>
      <x:c r="F15" s="16" t="str">
        <x:v>〈材种上下文〉</x:v>
      </x:c>
      <x:c r="G15" s="16" t="str">
        <x:v>—</x:v>
      </x:c>
      <x:c r="H15" s="16" t="str">
        <x:v>常量</x:v>
      </x:c>
      <x:c r="I15" s="16" t="str">
        <x:v>sample</x:v>
      </x:c>
      <x:c r="J15" s="16" t="str">
        <x:v>sample_type</x:v>
      </x:c>
      <x:c r="K15" s="16" t="str">
        <x:v>固定写入softwood</x:v>
      </x:c>
      <x:c r="L15" s="16" t="str">
        <x:v>禁止为空</x:v>
      </x:c>
      <x:c r="M15" s="16" t="str">
        <x:v>枚举值合法</x:v>
      </x:c>
      <x:c r="N15" s="16" t="str">
        <x:v>不得由文件名以外信息覆盖</x:v>
      </x:c>
      <x:c r="O15" s="16" t="str">
        <x:v>是</x:v>
      </x:c>
      <x:c r="P15" s="16" t="str"/>
    </x:row>
    <x:row r="16" ht="34" customHeight="1">
      <x:c r="A16" s="16" t="str">
        <x:v>M012</x:v>
      </x:c>
      <x:c r="B16" s="16" t="str">
        <x:v>针叶木-打浆转数-打浆度(1).xlsx</x:v>
      </x:c>
      <x:c r="C16" s="16" t="str">
        <x:v>原始版</x:v>
      </x:c>
      <x:c r="D16" s="16" t="str">
        <x:v>Sheet1</x:v>
      </x:c>
      <x:c r="E16" s="22" t="n">
        <x:v>0</x:v>
      </x:c>
      <x:c r="F16" s="16" t="str">
        <x:v>〈材种+打浆转数〉</x:v>
      </x:c>
      <x:c r="G16" s="16" t="str">
        <x:v>—</x:v>
      </x:c>
      <x:c r="H16" s="16" t="str">
        <x:v>派生</x:v>
      </x:c>
      <x:c r="I16" s="16" t="str">
        <x:v>sample</x:v>
      </x:c>
      <x:c r="J16" s="16" t="str">
        <x:v>display_name</x:v>
      </x:c>
      <x:c r="K16" s="16" t="str">
        <x:v>生成针叶木浆-{转数}r</x:v>
      </x:c>
      <x:c r="L16" s="16" t="str">
        <x:v>禁止为空</x:v>
      </x:c>
      <x:c r="M16" s="16" t="str">
        <x:v>长度不超过100字符</x:v>
      </x:c>
      <x:c r="N16" s="16" t="str">
        <x:v>同canonical_code更新显示名需人工确认</x:v>
      </x:c>
      <x:c r="O16" s="16" t="str">
        <x:v>是</x:v>
      </x:c>
      <x:c r="P16" s="16" t="str"/>
    </x:row>
    <x:row r="17" ht="34" customHeight="1">
      <x:c r="A17" s="16" t="str">
        <x:v>M013</x:v>
      </x:c>
      <x:c r="B17" s="16" t="str">
        <x:v>针叶木-打浆转数-打浆度(1).xlsx</x:v>
      </x:c>
      <x:c r="C17" s="16" t="str">
        <x:v>原始版</x:v>
      </x:c>
      <x:c r="D17" s="16" t="str">
        <x:v>Sheet1</x:v>
      </x:c>
      <x:c r="E17" s="22" t="n">
        <x:v>0</x:v>
      </x:c>
      <x:c r="F17" s="16" t="str">
        <x:v>〈实验上下文〉</x:v>
      </x:c>
      <x:c r="G17" s="16" t="str">
        <x:v>—</x:v>
      </x:c>
      <x:c r="H17" s="16" t="str">
        <x:v>常量/查找</x:v>
      </x:c>
      <x:c r="I17" s="16" t="str">
        <x:v>experiment_sample</x:v>
      </x:c>
      <x:c r="J17" s="16" t="str">
        <x:v>experiment_id</x:v>
      </x:c>
      <x:c r="K17" s="16" t="str">
        <x:v>按experiment_code=SW_BEATING查找</x:v>
      </x:c>
      <x:c r="L17" s="16" t="str">
        <x:v>禁止为空</x:v>
      </x:c>
      <x:c r="M17" s="16" t="str">
        <x:v>必须命中一个实验</x:v>
      </x:c>
      <x:c r="N17" s="16" t="str">
        <x:v>禁止自动创建未知实验</x:v>
      </x:c>
      <x:c r="O17" s="16" t="str">
        <x:v>是</x:v>
      </x:c>
      <x:c r="P17" s="16" t="str"/>
    </x:row>
    <x:row r="18" ht="34" customHeight="1">
      <x:c r="A18" s="16" t="str">
        <x:v>M014</x:v>
      </x:c>
      <x:c r="B18" s="16" t="str">
        <x:v>针叶木-打浆转数-打浆度(1).xlsx</x:v>
      </x:c>
      <x:c r="C18" s="16" t="str">
        <x:v>原始版</x:v>
      </x:c>
      <x:c r="D18" s="16" t="str">
        <x:v>Sheet1</x:v>
      </x:c>
      <x:c r="E18" s="22" t="n">
        <x:v>0</x:v>
      </x:c>
      <x:c r="F18" s="16" t="str">
        <x:v>〈标准样本代码〉</x:v>
      </x:c>
      <x:c r="G18" s="16" t="str">
        <x:v>—</x:v>
      </x:c>
      <x:c r="H18" s="16" t="str">
        <x:v>查找</x:v>
      </x:c>
      <x:c r="I18" s="16" t="str">
        <x:v>experiment_sample</x:v>
      </x:c>
      <x:c r="J18" s="16" t="str">
        <x:v>sample_id</x:v>
      </x:c>
      <x:c r="K18" s="16" t="str">
        <x:v>按canonical_code查找或创建后取得sample_id</x:v>
      </x:c>
      <x:c r="L18" s="16" t="str">
        <x:v>禁止为空</x:v>
      </x:c>
      <x:c r="M18" s="16" t="str">
        <x:v>必须命中一个样本</x:v>
      </x:c>
      <x:c r="N18" s="16" t="str">
        <x:v>失败则整批回滚</x:v>
      </x:c>
      <x:c r="O18" s="16" t="str">
        <x:v>是</x:v>
      </x:c>
      <x:c r="P18" s="16" t="str"/>
    </x:row>
    <x:row r="19" ht="34" customHeight="1">
      <x:c r="A19" s="16" t="str">
        <x:v>M015</x:v>
      </x:c>
      <x:c r="B19" s="16" t="str">
        <x:v>针叶木-打浆转数-打浆度(1).xlsx</x:v>
      </x:c>
      <x:c r="C19" s="16" t="str">
        <x:v>原始版</x:v>
      </x:c>
      <x:c r="D19" s="16" t="str">
        <x:v>Sheet1</x:v>
      </x:c>
      <x:c r="E19" s="22" t="n">
        <x:v>0</x:v>
      </x:c>
      <x:c r="F19" s="16" t="str">
        <x:v>〈当前来源行〉</x:v>
      </x:c>
      <x:c r="G19" s="16" t="str">
        <x:v>—</x:v>
      </x:c>
      <x:c r="H19" s="16" t="str">
        <x:v>关联</x:v>
      </x:c>
      <x:c r="I19" s="16" t="str">
        <x:v>experiment_sample</x:v>
      </x:c>
      <x:c r="J19" s="16" t="str">
        <x:v>source_id</x:v>
      </x:c>
      <x:c r="K19" s="16" t="str">
        <x:v>引用本行data_source.source_id</x:v>
      </x:c>
      <x:c r="L19" s="16" t="str">
        <x:v>禁止为空</x:v>
      </x:c>
      <x:c r="M19" s="16" t="str">
        <x:v>外键有效</x:v>
      </x:c>
      <x:c r="N19" s="16" t="str">
        <x:v>缺失来源不得入库</x:v>
      </x:c>
      <x:c r="O19" s="16" t="str">
        <x:v>是</x:v>
      </x:c>
      <x:c r="P19" s="16" t="str"/>
    </x:row>
    <x:row r="20" ht="34" customHeight="1">
      <x:c r="A20" s="16" t="str">
        <x:v>M016</x:v>
      </x:c>
      <x:c r="B20" s="16" t="str">
        <x:v>针叶木-打浆转数-打浆度(1).xlsx</x:v>
      </x:c>
      <x:c r="C20" s="16" t="str">
        <x:v>原始版</x:v>
      </x:c>
      <x:c r="D20" s="16" t="str">
        <x:v>Sheet1</x:v>
      </x:c>
      <x:c r="E20" s="22" t="n">
        <x:v>0</x:v>
      </x:c>
      <x:c r="F20" s="16" t="str">
        <x:v>〈标准样本代码〉</x:v>
      </x:c>
      <x:c r="G20" s="16" t="str">
        <x:v>—</x:v>
      </x:c>
      <x:c r="H20" s="16" t="str">
        <x:v>查找</x:v>
      </x:c>
      <x:c r="I20" s="16" t="str">
        <x:v>sample_component</x:v>
      </x:c>
      <x:c r="J20" s="16" t="str">
        <x:v>sample_id</x:v>
      </x:c>
      <x:c r="K20" s="16" t="str">
        <x:v>引用本行对应sample.sample_id</x:v>
      </x:c>
      <x:c r="L20" s="16" t="str">
        <x:v>禁止为空</x:v>
      </x:c>
      <x:c r="M20" s="16" t="str">
        <x:v>外键有效</x:v>
      </x:c>
      <x:c r="N20" s="16" t="str">
        <x:v>失败则整批回滚</x:v>
      </x:c>
      <x:c r="O20" s="16" t="str">
        <x:v>是</x:v>
      </x:c>
      <x:c r="P20" s="16" t="str"/>
    </x:row>
    <x:row r="21" ht="34" customHeight="1">
      <x:c r="A21" s="16" t="str">
        <x:v>M017</x:v>
      </x:c>
      <x:c r="B21" s="16" t="str">
        <x:v>针叶木-打浆转数-打浆度(1).xlsx</x:v>
      </x:c>
      <x:c r="C21" s="16" t="str">
        <x:v>原始版</x:v>
      </x:c>
      <x:c r="D21" s="16" t="str">
        <x:v>Sheet1</x:v>
      </x:c>
      <x:c r="E21" s="22" t="n">
        <x:v>0</x:v>
      </x:c>
      <x:c r="F21" s="16" t="str">
        <x:v>〈材种上下文〉</x:v>
      </x:c>
      <x:c r="G21" s="16" t="str">
        <x:v>—</x:v>
      </x:c>
      <x:c r="H21" s="16" t="str">
        <x:v>查找</x:v>
      </x:c>
      <x:c r="I21" s="16" t="str">
        <x:v>sample_component</x:v>
      </x:c>
      <x:c r="J21" s="16" t="str">
        <x:v>material_id</x:v>
      </x:c>
      <x:c r="K21" s="16" t="str">
        <x:v>按material_code=SW查找</x:v>
      </x:c>
      <x:c r="L21" s="16" t="str">
        <x:v>禁止为空</x:v>
      </x:c>
      <x:c r="M21" s="16" t="str">
        <x:v>必须命中SW或HW</x:v>
      </x:c>
      <x:c r="N21" s="16" t="str">
        <x:v>禁止自动创建未知原料</x:v>
      </x:c>
      <x:c r="O21" s="16" t="str">
        <x:v>是</x:v>
      </x:c>
      <x:c r="P21" s="16" t="str"/>
    </x:row>
    <x:row r="22" ht="34" customHeight="1">
      <x:c r="A22" s="16" t="str">
        <x:v>M018</x:v>
      </x:c>
      <x:c r="B22" s="16" t="str">
        <x:v>针叶木-打浆转数-打浆度(1).xlsx</x:v>
      </x:c>
      <x:c r="C22" s="16" t="str">
        <x:v>原始版</x:v>
      </x:c>
      <x:c r="D22" s="16" t="str">
        <x:v>Sheet1</x:v>
      </x:c>
      <x:c r="E22" s="22" t="n">
        <x:v>0</x:v>
      </x:c>
      <x:c r="F22" s="16" t="str">
        <x:v>〈纯浆常量〉</x:v>
      </x:c>
      <x:c r="G22" s="16" t="str">
        <x:v>%</x:v>
      </x:c>
      <x:c r="H22" s="16" t="str">
        <x:v>常量</x:v>
      </x:c>
      <x:c r="I22" s="16" t="str">
        <x:v>sample_component</x:v>
      </x:c>
      <x:c r="J22" s="16" t="str">
        <x:v>proportion_pct</x:v>
      </x:c>
      <x:c r="K22" s="16" t="str">
        <x:v>固定写入100</x:v>
      </x:c>
      <x:c r="L22" s="16" t="str">
        <x:v>禁止为空</x:v>
      </x:c>
      <x:c r="M22" s="16" t="str">
        <x:v>等于100</x:v>
      </x:c>
      <x:c r="N22" s="16" t="str">
        <x:v>纯浆不得写入第二组分</x:v>
      </x:c>
      <x:c r="O22" s="16" t="str">
        <x:v>是</x:v>
      </x:c>
      <x:c r="P22" s="16" t="str"/>
    </x:row>
    <x:row r="23" ht="34" customHeight="1">
      <x:c r="A23" s="16" t="str">
        <x:v>M019</x:v>
      </x:c>
      <x:c r="B23" s="16" t="str">
        <x:v>针叶木-打浆转数-打浆度(1).xlsx</x:v>
      </x:c>
      <x:c r="C23" s="16" t="str">
        <x:v>原始版</x:v>
      </x:c>
      <x:c r="D23" s="16" t="str">
        <x:v>Sheet1</x:v>
      </x:c>
      <x:c r="E23" s="22" t="n">
        <x:v>0</x:v>
      </x:c>
      <x:c r="F23" s="16" t="str">
        <x:v>〈当前来源行〉</x:v>
      </x:c>
      <x:c r="G23" s="16" t="str">
        <x:v>—</x:v>
      </x:c>
      <x:c r="H23" s="16" t="str">
        <x:v>关联</x:v>
      </x:c>
      <x:c r="I23" s="16" t="str">
        <x:v>sample_component</x:v>
      </x:c>
      <x:c r="J23" s="16" t="str">
        <x:v>source_id</x:v>
      </x:c>
      <x:c r="K23" s="16" t="str">
        <x:v>引用本行data_source.source_id</x:v>
      </x:c>
      <x:c r="L23" s="16" t="str">
        <x:v>禁止为空</x:v>
      </x:c>
      <x:c r="M23" s="16" t="str">
        <x:v>外键有效</x:v>
      </x:c>
      <x:c r="N23" s="16" t="str">
        <x:v>缺失来源不得入库</x:v>
      </x:c>
      <x:c r="O23" s="16" t="str">
        <x:v>是</x:v>
      </x:c>
      <x:c r="P23" s="16" t="str"/>
    </x:row>
    <x:row r="24" ht="34" customHeight="1">
      <x:c r="A24" s="16" t="str">
        <x:v>M020</x:v>
      </x:c>
      <x:c r="B24" s="16" t="str">
        <x:v>针叶木-打浆转数-纤维特性(1).xlsx</x:v>
      </x:c>
      <x:c r="C24" s="16" t="str">
        <x:v>原始版</x:v>
      </x:c>
      <x:c r="D24" s="16" t="str">
        <x:v>Sheet1</x:v>
      </x:c>
      <x:c r="E24" s="22" t="n">
        <x:v>0</x:v>
      </x:c>
      <x:c r="F24" s="16" t="str">
        <x:v>〈文件名〉</x:v>
      </x:c>
      <x:c r="G24" s="16" t="str">
        <x:v>—</x:v>
      </x:c>
      <x:c r="H24" s="16" t="str">
        <x:v>来源元数据</x:v>
      </x:c>
      <x:c r="I24" s="16" t="str">
        <x:v>data_source</x:v>
      </x:c>
      <x:c r="J24" s="16" t="str">
        <x:v>file_name</x:v>
      </x:c>
      <x:c r="K24" s="16" t="str">
        <x:v>写入当前原始文件名</x:v>
      </x:c>
      <x:c r="L24" s="16" t="str">
        <x:v>禁止为空</x:v>
      </x:c>
      <x:c r="M24" s="16" t="str">
        <x:v>必须在正式来源白名单中</x:v>
      </x:c>
      <x:c r="N24" s="16" t="str">
        <x:v>旧复配版或汇总文件立即终止该批</x:v>
      </x:c>
      <x:c r="O24" s="16" t="str">
        <x:v>是</x:v>
      </x:c>
      <x:c r="P24" s="16" t="str"/>
    </x:row>
    <x:row r="25" ht="34" customHeight="1">
      <x:c r="A25" s="16" t="str">
        <x:v>M021</x:v>
      </x:c>
      <x:c r="B25" s="16" t="str">
        <x:v>针叶木-打浆转数-纤维特性(1).xlsx</x:v>
      </x:c>
      <x:c r="C25" s="16" t="str">
        <x:v>原始版</x:v>
      </x:c>
      <x:c r="D25" s="16" t="str">
        <x:v>Sheet1</x:v>
      </x:c>
      <x:c r="E25" s="22" t="n">
        <x:v>0</x:v>
      </x:c>
      <x:c r="F25" s="16" t="str">
        <x:v>〈工作表名〉</x:v>
      </x:c>
      <x:c r="G25" s="16" t="str">
        <x:v>—</x:v>
      </x:c>
      <x:c r="H25" s="16" t="str">
        <x:v>来源元数据</x:v>
      </x:c>
      <x:c r="I25" s="16" t="str">
        <x:v>data_source</x:v>
      </x:c>
      <x:c r="J25" s="16" t="str">
        <x:v>sheet_name</x:v>
      </x:c>
      <x:c r="K25" s="16" t="str">
        <x:v>固定写入Sheet1</x:v>
      </x:c>
      <x:c r="L25" s="16" t="str">
        <x:v>禁止为空</x:v>
      </x:c>
      <x:c r="M25" s="16" t="str">
        <x:v>仅允许有效工作表Sheet1</x:v>
      </x:c>
      <x:c r="N25" s="16" t="str">
        <x:v>空白Sheet2/Sheet3不处理</x:v>
      </x:c>
      <x:c r="O25" s="16" t="str">
        <x:v>是</x:v>
      </x:c>
      <x:c r="P25" s="16" t="str"/>
    </x:row>
    <x:row r="26" ht="34" customHeight="1">
      <x:c r="A26" s="16" t="str">
        <x:v>M022</x:v>
      </x:c>
      <x:c r="B26" s="16" t="str">
        <x:v>针叶木-打浆转数-纤维特性(1).xlsx</x:v>
      </x:c>
      <x:c r="C26" s="16" t="str">
        <x:v>原始版</x:v>
      </x:c>
      <x:c r="D26" s="16" t="str">
        <x:v>Sheet1</x:v>
      </x:c>
      <x:c r="E26" s="22" t="n">
        <x:v>0</x:v>
      </x:c>
      <x:c r="F26" s="16" t="str">
        <x:v>〈Excel行号〉</x:v>
      </x:c>
      <x:c r="G26" s="16" t="str">
        <x:v>行</x:v>
      </x:c>
      <x:c r="H26" s="16" t="str">
        <x:v>系统生成</x:v>
      </x:c>
      <x:c r="I26" s="16" t="str">
        <x:v>data_source</x:v>
      </x:c>
      <x:c r="J26" s="16" t="str">
        <x:v>source_row</x:v>
      </x:c>
      <x:c r="K26" s="16" t="str">
        <x:v>写入原始数据所在Excel实际行号</x:v>
      </x:c>
      <x:c r="L26" s="16" t="str">
        <x:v>禁止为空</x:v>
      </x:c>
      <x:c r="M26" s="16" t="str">
        <x:v>&gt;=2且为整数</x:v>
      </x:c>
      <x:c r="N26" s="16" t="str">
        <x:v>同文件、工作表、行号不得重复</x:v>
      </x:c>
      <x:c r="O26" s="16" t="str">
        <x:v>是</x:v>
      </x:c>
      <x:c r="P26" s="16" t="str"/>
    </x:row>
    <x:row r="27" ht="34" customHeight="1">
      <x:c r="A27" s="16" t="str">
        <x:v>M023</x:v>
      </x:c>
      <x:c r="B27" s="16" t="str">
        <x:v>针叶木-打浆转数-纤维特性(1).xlsx</x:v>
      </x:c>
      <x:c r="C27" s="16" t="str">
        <x:v>原始版</x:v>
      </x:c>
      <x:c r="D27" s="16" t="str">
        <x:v>Sheet1</x:v>
      </x:c>
      <x:c r="E27" s="22" t="n">
        <x:v>0</x:v>
      </x:c>
      <x:c r="F27" s="16" t="str">
        <x:v>〈来源版本〉</x:v>
      </x:c>
      <x:c r="G27" s="16" t="str">
        <x:v>—</x:v>
      </x:c>
      <x:c r="H27" s="16" t="str">
        <x:v>文件上下文</x:v>
      </x:c>
      <x:c r="I27" s="16" t="str">
        <x:v>data_source</x:v>
      </x:c>
      <x:c r="J27" s="16" t="str">
        <x:v>source_version</x:v>
      </x:c>
      <x:c r="K27" s="16" t="str">
        <x:v>固定写入原始版</x:v>
      </x:c>
      <x:c r="L27" s="16" t="str">
        <x:v>禁止为空</x:v>
      </x:c>
      <x:c r="M27" s="16" t="str">
        <x:v>复配文件必须为0110</x:v>
      </x:c>
      <x:c r="N27" s="16" t="str">
        <x:v>旧版不得覆盖0110</x:v>
      </x:c>
      <x:c r="O27" s="16" t="str">
        <x:v>是</x:v>
      </x:c>
      <x:c r="P27" s="16" t="str"/>
    </x:row>
    <x:row r="28" ht="34" customHeight="1">
      <x:c r="A28" s="16" t="str">
        <x:v>M024</x:v>
      </x:c>
      <x:c r="B28" s="16" t="str">
        <x:v>针叶木-打浆转数-纤维特性(1).xlsx</x:v>
      </x:c>
      <x:c r="C28" s="16" t="str">
        <x:v>原始版</x:v>
      </x:c>
      <x:c r="D28" s="16" t="str">
        <x:v>Sheet1</x:v>
      </x:c>
      <x:c r="E28" s="22" t="n">
        <x:v>0</x:v>
      </x:c>
      <x:c r="F28" s="16" t="str">
        <x:v>〈导入时间〉</x:v>
      </x:c>
      <x:c r="G28" s="16" t="str">
        <x:v>—</x:v>
      </x:c>
      <x:c r="H28" s="16" t="str">
        <x:v>系统生成</x:v>
      </x:c>
      <x:c r="I28" s="16" t="str">
        <x:v>data_source</x:v>
      </x:c>
      <x:c r="J28" s="16" t="str">
        <x:v>imported_at</x:v>
      </x:c>
      <x:c r="K28" s="16" t="str">
        <x:v>由PostgreSQL CURRENT_TIMESTAMP生成</x:v>
      </x:c>
      <x:c r="L28" s="16" t="str">
        <x:v>禁止为空</x:v>
      </x:c>
      <x:c r="M28" s="16" t="str">
        <x:v>TIMESTAMPTZ有效值</x:v>
      </x:c>
      <x:c r="N28" s="16" t="str">
        <x:v>不从Excel读取</x:v>
      </x:c>
      <x:c r="O28" s="16" t="str">
        <x:v>是</x:v>
      </x:c>
      <x:c r="P28" s="16" t="str"/>
    </x:row>
    <x:row r="29" ht="34" customHeight="1">
      <x:c r="A29" s="16" t="str">
        <x:v>M025</x:v>
      </x:c>
      <x:c r="B29" s="16" t="str">
        <x:v>针叶木-打浆转数-纤维特性(1).xlsx</x:v>
      </x:c>
      <x:c r="C29" s="16" t="str">
        <x:v>原始版</x:v>
      </x:c>
      <x:c r="D29" s="16" t="str">
        <x:v>Sheet1</x:v>
      </x:c>
      <x:c r="E29" s="22" t="n">
        <x:v>1</x:v>
      </x:c>
      <x:c r="F29" s="16" t="str">
        <x:v>序号</x:v>
      </x:c>
      <x:c r="G29" s="16" t="str">
        <x:v>—</x:v>
      </x:c>
      <x:c r="H29" s="16" t="str">
        <x:v>校验键</x:v>
      </x:c>
      <x:c r="I29" s="16" t="str">
        <x:v>experiment_sample</x:v>
      </x:c>
      <x:c r="J29" s="16" t="str">
        <x:v>display_order</x:v>
      </x:c>
      <x:c r="K29" s="16" t="str">
        <x:v>仅用于核对行顺序，不覆盖打浆度文件</x:v>
      </x:c>
      <x:c r="L29" s="16" t="str">
        <x:v>禁止为空</x:v>
      </x:c>
      <x:c r="M29" s="16" t="str">
        <x:v>正整数</x:v>
      </x:c>
      <x:c r="N29" s="16" t="str">
        <x:v>不一致时终止该批</x:v>
      </x:c>
      <x:c r="O29" s="16" t="str">
        <x:v>是</x:v>
      </x:c>
      <x:c r="P29" s="16" t="str"/>
    </x:row>
    <x:row r="30" ht="34" customHeight="1">
      <x:c r="A30" s="16" t="str">
        <x:v>M026</x:v>
      </x:c>
      <x:c r="B30" s="16" t="str">
        <x:v>针叶木-打浆转数-纤维特性(1).xlsx</x:v>
      </x:c>
      <x:c r="C30" s="16" t="str">
        <x:v>原始版</x:v>
      </x:c>
      <x:c r="D30" s="16" t="str">
        <x:v>Sheet1</x:v>
      </x:c>
      <x:c r="E30" s="22" t="n">
        <x:v>2</x:v>
      </x:c>
      <x:c r="F30" s="16" t="str">
        <x:v>打浆转数</x:v>
      </x:c>
      <x:c r="G30" s="16" t="str">
        <x:v>r</x:v>
      </x:c>
      <x:c r="H30" s="16" t="str">
        <x:v>关联键</x:v>
      </x:c>
      <x:c r="I30" s="16" t="str">
        <x:v>fiber_measurement</x:v>
      </x:c>
      <x:c r="J30" s="16" t="str">
        <x:v>sample_id</x:v>
      </x:c>
      <x:c r="K30" s="16" t="str">
        <x:v>按SW+打浆转数定位canonical_code并查找sample_id</x:v>
      </x:c>
      <x:c r="L30" s="16" t="str">
        <x:v>禁止为空</x:v>
      </x:c>
      <x:c r="M30" s="16" t="str">
        <x:v>必须唯一命中样本</x:v>
      </x:c>
      <x:c r="N30" s="16" t="str">
        <x:v>不得新建仅存在于测量文件的样本</x:v>
      </x:c>
      <x:c r="O30" s="16" t="str">
        <x:v>是</x:v>
      </x:c>
      <x:c r="P30" s="16" t="str"/>
    </x:row>
    <x:row r="31" ht="34" customHeight="1">
      <x:c r="A31" s="16" t="str">
        <x:v>M027</x:v>
      </x:c>
      <x:c r="B31" s="16" t="str">
        <x:v>针叶木-打浆转数-纤维特性(1).xlsx</x:v>
      </x:c>
      <x:c r="C31" s="16" t="str">
        <x:v>原始版</x:v>
      </x:c>
      <x:c r="D31" s="16" t="str">
        <x:v>Sheet1</x:v>
      </x:c>
      <x:c r="E31" s="22" t="n">
        <x:v>3</x:v>
      </x:c>
      <x:c r="F31" s="16" t="str">
        <x:v>纤维长度/mm（算数平均）</x:v>
      </x:c>
      <x:c r="G31" s="16" t="str">
        <x:v>mm</x:v>
      </x:c>
      <x:c r="H31" s="16" t="str">
        <x:v>直接</x:v>
      </x:c>
      <x:c r="I31" s="16" t="str">
        <x:v>fiber_measurement</x:v>
      </x:c>
      <x:c r="J31" s="16" t="str">
        <x:v>fiber_length_arithmetic_mm</x:v>
      </x:c>
      <x:c r="K31" s="16" t="str">
        <x:v>保留原始数值精度并转换为NUMERIC</x:v>
      </x:c>
      <x:c r="L31" s="16" t="str">
        <x:v>空白、—或/转为NULL并记录质量告警</x:v>
      </x:c>
      <x:c r="M31" s="16" t="str">
        <x:v>数值且非负</x:v>
      </x:c>
      <x:c r="N31" s="16" t="str">
        <x:v>同sample_id已有记录时不得覆盖</x:v>
      </x:c>
      <x:c r="O31" s="16" t="str">
        <x:v>是</x:v>
      </x:c>
      <x:c r="P31" s="16" t="str"/>
    </x:row>
    <x:row r="32" ht="34" customHeight="1">
      <x:c r="A32" s="16" t="str">
        <x:v>M028</x:v>
      </x:c>
      <x:c r="B32" s="16" t="str">
        <x:v>针叶木-打浆转数-纤维特性(1).xlsx</x:v>
      </x:c>
      <x:c r="C32" s="16" t="str">
        <x:v>原始版</x:v>
      </x:c>
      <x:c r="D32" s="16" t="str">
        <x:v>Sheet1</x:v>
      </x:c>
      <x:c r="E32" s="22" t="n">
        <x:v>4</x:v>
      </x:c>
      <x:c r="F32" s="16" t="str">
        <x:v>纤维长度/mm（长度加权长）</x:v>
      </x:c>
      <x:c r="G32" s="16" t="str">
        <x:v>mm</x:v>
      </x:c>
      <x:c r="H32" s="16" t="str">
        <x:v>直接</x:v>
      </x:c>
      <x:c r="I32" s="16" t="str">
        <x:v>fiber_measurement</x:v>
      </x:c>
      <x:c r="J32" s="16" t="str">
        <x:v>fiber_length_weighted_mm</x:v>
      </x:c>
      <x:c r="K32" s="16" t="str">
        <x:v>保留原始数值精度并转换为NUMERIC</x:v>
      </x:c>
      <x:c r="L32" s="16" t="str">
        <x:v>空白、—或/转为NULL并记录质量告警</x:v>
      </x:c>
      <x:c r="M32" s="16" t="str">
        <x:v>数值且非负</x:v>
      </x:c>
      <x:c r="N32" s="16" t="str">
        <x:v>同sample_id已有记录时不得覆盖</x:v>
      </x:c>
      <x:c r="O32" s="16" t="str">
        <x:v>是</x:v>
      </x:c>
      <x:c r="P32" s="16" t="str"/>
    </x:row>
    <x:row r="33" ht="34" customHeight="1">
      <x:c r="A33" s="16" t="str">
        <x:v>M029</x:v>
      </x:c>
      <x:c r="B33" s="16" t="str">
        <x:v>针叶木-打浆转数-纤维特性(1).xlsx</x:v>
      </x:c>
      <x:c r="C33" s="16" t="str">
        <x:v>原始版</x:v>
      </x:c>
      <x:c r="D33" s="16" t="str">
        <x:v>Sheet1</x:v>
      </x:c>
      <x:c r="E33" s="22" t="n">
        <x:v>5</x:v>
      </x:c>
      <x:c r="F33" s="16" t="str">
        <x:v>宽度/μm</x:v>
      </x:c>
      <x:c r="G33" s="16" t="str">
        <x:v>μm</x:v>
      </x:c>
      <x:c r="H33" s="16" t="str">
        <x:v>直接</x:v>
      </x:c>
      <x:c r="I33" s="16" t="str">
        <x:v>fiber_measurement</x:v>
      </x:c>
      <x:c r="J33" s="16" t="str">
        <x:v>fiber_width_um</x:v>
      </x:c>
      <x:c r="K33" s="16" t="str">
        <x:v>保留原始数值精度并转换为NUMERIC</x:v>
      </x:c>
      <x:c r="L33" s="16" t="str">
        <x:v>空白、—或/转为NULL并记录质量告警</x:v>
      </x:c>
      <x:c r="M33" s="16" t="str">
        <x:v>数值且非负</x:v>
      </x:c>
      <x:c r="N33" s="16" t="str">
        <x:v>同sample_id已有记录时不得覆盖</x:v>
      </x:c>
      <x:c r="O33" s="16" t="str">
        <x:v>是</x:v>
      </x:c>
      <x:c r="P33" s="16" t="str"/>
    </x:row>
    <x:row r="34" ht="34" customHeight="1">
      <x:c r="A34" s="16" t="str">
        <x:v>M030</x:v>
      </x:c>
      <x:c r="B34" s="16" t="str">
        <x:v>针叶木-打浆转数-纤维特性(1).xlsx</x:v>
      </x:c>
      <x:c r="C34" s="16" t="str">
        <x:v>原始版</x:v>
      </x:c>
      <x:c r="D34" s="16" t="str">
        <x:v>Sheet1</x:v>
      </x:c>
      <x:c r="E34" s="22" t="n">
        <x:v>6</x:v>
      </x:c>
      <x:c r="F34" s="16" t="str">
        <x:v>粗度（mg/m）</x:v>
      </x:c>
      <x:c r="G34" s="16" t="str">
        <x:v>mg/m</x:v>
      </x:c>
      <x:c r="H34" s="16" t="str">
        <x:v>直接</x:v>
      </x:c>
      <x:c r="I34" s="16" t="str">
        <x:v>fiber_measurement</x:v>
      </x:c>
      <x:c r="J34" s="16" t="str">
        <x:v>fiber_coarseness_mg_m</x:v>
      </x:c>
      <x:c r="K34" s="16" t="str">
        <x:v>保留原始数值精度并转换为NUMERIC</x:v>
      </x:c>
      <x:c r="L34" s="16" t="str">
        <x:v>空白、—或/转为NULL并记录质量告警</x:v>
      </x:c>
      <x:c r="M34" s="16" t="str">
        <x:v>数值且非负</x:v>
      </x:c>
      <x:c r="N34" s="16" t="str">
        <x:v>同sample_id已有记录时不得覆盖</x:v>
      </x:c>
      <x:c r="O34" s="16" t="str">
        <x:v>是</x:v>
      </x:c>
      <x:c r="P34" s="16" t="str"/>
    </x:row>
    <x:row r="35" ht="34" customHeight="1">
      <x:c r="A35" s="16" t="str">
        <x:v>M031</x:v>
      </x:c>
      <x:c r="B35" s="16" t="str">
        <x:v>针叶木-打浆转数-纤维特性(1).xlsx</x:v>
      </x:c>
      <x:c r="C35" s="16" t="str">
        <x:v>原始版</x:v>
      </x:c>
      <x:c r="D35" s="16" t="str">
        <x:v>Sheet1</x:v>
      </x:c>
      <x:c r="E35" s="22" t="n">
        <x:v>7</x:v>
      </x:c>
      <x:c r="F35" s="16" t="str">
        <x:v>扭结角（°）</x:v>
      </x:c>
      <x:c r="G35" s="16" t="str">
        <x:v>°</x:v>
      </x:c>
      <x:c r="H35" s="16" t="str">
        <x:v>直接</x:v>
      </x:c>
      <x:c r="I35" s="16" t="str">
        <x:v>fiber_measurement</x:v>
      </x:c>
      <x:c r="J35" s="16" t="str">
        <x:v>kink_angle_deg</x:v>
      </x:c>
      <x:c r="K35" s="16" t="str">
        <x:v>保留原始数值精度并转换为NUMERIC</x:v>
      </x:c>
      <x:c r="L35" s="16" t="str">
        <x:v>空白、—或/转为NULL并记录质量告警</x:v>
      </x:c>
      <x:c r="M35" s="16" t="str">
        <x:v>数值且非负</x:v>
      </x:c>
      <x:c r="N35" s="16" t="str">
        <x:v>同sample_id已有记录时不得覆盖</x:v>
      </x:c>
      <x:c r="O35" s="16" t="str">
        <x:v>是</x:v>
      </x:c>
      <x:c r="P35" s="16" t="str"/>
    </x:row>
    <x:row r="36" ht="34" customHeight="1">
      <x:c r="A36" s="16" t="str">
        <x:v>M032</x:v>
      </x:c>
      <x:c r="B36" s="16" t="str">
        <x:v>针叶木-打浆转数-纤维特性(1).xlsx</x:v>
      </x:c>
      <x:c r="C36" s="16" t="str">
        <x:v>原始版</x:v>
      </x:c>
      <x:c r="D36" s="16" t="str">
        <x:v>Sheet1</x:v>
      </x:c>
      <x:c r="E36" s="22" t="n">
        <x:v>8</x:v>
      </x:c>
      <x:c r="F36" s="16" t="str">
        <x:v>扭结纤维（%）</x:v>
      </x:c>
      <x:c r="G36" s="16" t="str">
        <x:v>%</x:v>
      </x:c>
      <x:c r="H36" s="16" t="str">
        <x:v>直接</x:v>
      </x:c>
      <x:c r="I36" s="16" t="str">
        <x:v>fiber_measurement</x:v>
      </x:c>
      <x:c r="J36" s="16" t="str">
        <x:v>kinked_fiber_pct</x:v>
      </x:c>
      <x:c r="K36" s="16" t="str">
        <x:v>保留原始数值精度并转换为NUMERIC</x:v>
      </x:c>
      <x:c r="L36" s="16" t="str">
        <x:v>空白、—或/转为NULL并记录质量告警</x:v>
      </x:c>
      <x:c r="M36" s="16" t="str">
        <x:v>数值且非负</x:v>
      </x:c>
      <x:c r="N36" s="16" t="str">
        <x:v>同sample_id已有记录时不得覆盖</x:v>
      </x:c>
      <x:c r="O36" s="16" t="str">
        <x:v>是</x:v>
      </x:c>
      <x:c r="P36" s="16" t="str"/>
    </x:row>
    <x:row r="37" ht="34" customHeight="1">
      <x:c r="A37" s="16" t="str">
        <x:v>M033</x:v>
      </x:c>
      <x:c r="B37" s="16" t="str">
        <x:v>针叶木-打浆转数-纤维特性(1).xlsx</x:v>
      </x:c>
      <x:c r="C37" s="16" t="str">
        <x:v>原始版</x:v>
      </x:c>
      <x:c r="D37" s="16" t="str">
        <x:v>Sheet1</x:v>
      </x:c>
      <x:c r="E37" s="22" t="n">
        <x:v>9</x:v>
      </x:c>
      <x:c r="F37" s="16" t="str">
        <x:v>弯曲（%）</x:v>
      </x:c>
      <x:c r="G37" s="16" t="str">
        <x:v>%</x:v>
      </x:c>
      <x:c r="H37" s="16" t="str">
        <x:v>直接</x:v>
      </x:c>
      <x:c r="I37" s="16" t="str">
        <x:v>fiber_measurement</x:v>
      </x:c>
      <x:c r="J37" s="16" t="str">
        <x:v>curved_fiber_pct</x:v>
      </x:c>
      <x:c r="K37" s="16" t="str">
        <x:v>保留原始数值精度并转换为NUMERIC</x:v>
      </x:c>
      <x:c r="L37" s="16" t="str">
        <x:v>空白、—或/转为NULL并记录质量告警</x:v>
      </x:c>
      <x:c r="M37" s="16" t="str">
        <x:v>数值且非负</x:v>
      </x:c>
      <x:c r="N37" s="16" t="str">
        <x:v>同sample_id已有记录时不得覆盖</x:v>
      </x:c>
      <x:c r="O37" s="16" t="str">
        <x:v>是</x:v>
      </x:c>
      <x:c r="P37" s="16" t="str"/>
    </x:row>
    <x:row r="38" ht="34" customHeight="1">
      <x:c r="A38" s="16" t="str">
        <x:v>M034</x:v>
      </x:c>
      <x:c r="B38" s="16" t="str">
        <x:v>针叶木-打浆转数-纤维特性(1).xlsx</x:v>
      </x:c>
      <x:c r="C38" s="16" t="str">
        <x:v>原始版</x:v>
      </x:c>
      <x:c r="D38" s="16" t="str">
        <x:v>Sheet1</x:v>
      </x:c>
      <x:c r="E38" s="22" t="n">
        <x:v>10</x:v>
      </x:c>
      <x:c r="F38" s="16" t="str">
        <x:v>分丝帚化长度比（%）</x:v>
      </x:c>
      <x:c r="G38" s="16" t="str">
        <x:v>%</x:v>
      </x:c>
      <x:c r="H38" s="16" t="str">
        <x:v>直接</x:v>
      </x:c>
      <x:c r="I38" s="16" t="str">
        <x:v>fiber_measurement</x:v>
      </x:c>
      <x:c r="J38" s="16" t="str">
        <x:v>fibrillation_length_pct</x:v>
      </x:c>
      <x:c r="K38" s="16" t="str">
        <x:v>保留原始数值精度并转换为NUMERIC</x:v>
      </x:c>
      <x:c r="L38" s="16" t="str">
        <x:v>空白、—或/转为NULL并记录质量告警</x:v>
      </x:c>
      <x:c r="M38" s="16" t="str">
        <x:v>数值且非负</x:v>
      </x:c>
      <x:c r="N38" s="16" t="str">
        <x:v>同sample_id已有记录时不得覆盖</x:v>
      </x:c>
      <x:c r="O38" s="16" t="str">
        <x:v>是</x:v>
      </x:c>
      <x:c r="P38" s="16" t="str"/>
    </x:row>
    <x:row r="39" ht="34" customHeight="1">
      <x:c r="A39" s="16" t="str">
        <x:v>M035</x:v>
      </x:c>
      <x:c r="B39" s="16" t="str">
        <x:v>针叶木-打浆转数-纤维特性(1).xlsx</x:v>
      </x:c>
      <x:c r="C39" s="16" t="str">
        <x:v>原始版</x:v>
      </x:c>
      <x:c r="D39" s="16" t="str">
        <x:v>Sheet1</x:v>
      </x:c>
      <x:c r="E39" s="22" t="n">
        <x:v>11</x:v>
      </x:c>
      <x:c r="F39" s="16" t="str">
        <x:v>折断纤维比（%）</x:v>
      </x:c>
      <x:c r="G39" s="16" t="str">
        <x:v>%</x:v>
      </x:c>
      <x:c r="H39" s="16" t="str">
        <x:v>直接</x:v>
      </x:c>
      <x:c r="I39" s="16" t="str">
        <x:v>fiber_measurement</x:v>
      </x:c>
      <x:c r="J39" s="16" t="str">
        <x:v>broken_fiber_pct</x:v>
      </x:c>
      <x:c r="K39" s="16" t="str">
        <x:v>保留原始数值精度并转换为NUMERIC</x:v>
      </x:c>
      <x:c r="L39" s="16" t="str">
        <x:v>空白、—或/转为NULL并记录质量告警</x:v>
      </x:c>
      <x:c r="M39" s="16" t="str">
        <x:v>数值且非负</x:v>
      </x:c>
      <x:c r="N39" s="16" t="str">
        <x:v>同sample_id已有记录时不得覆盖</x:v>
      </x:c>
      <x:c r="O39" s="16" t="str">
        <x:v>是</x:v>
      </x:c>
      <x:c r="P39" s="16" t="str"/>
    </x:row>
    <x:row r="40" ht="34" customHeight="1">
      <x:c r="A40" s="16" t="str">
        <x:v>M036</x:v>
      </x:c>
      <x:c r="B40" s="16" t="str">
        <x:v>针叶木-打浆转数-纤维特性(1).xlsx</x:v>
      </x:c>
      <x:c r="C40" s="16" t="str">
        <x:v>原始版</x:v>
      </x:c>
      <x:c r="D40" s="16" t="str">
        <x:v>Sheet1</x:v>
      </x:c>
      <x:c r="E40" s="22" t="n">
        <x:v>12</x:v>
      </x:c>
      <x:c r="F40" s="16" t="str">
        <x:v>细小纤维（长度比%）</x:v>
      </x:c>
      <x:c r="G40" s="16" t="str">
        <x:v>%</x:v>
      </x:c>
      <x:c r="H40" s="16" t="str">
        <x:v>直接</x:v>
      </x:c>
      <x:c r="I40" s="16" t="str">
        <x:v>fiber_measurement</x:v>
      </x:c>
      <x:c r="J40" s="16" t="str">
        <x:v>fines_length_pct</x:v>
      </x:c>
      <x:c r="K40" s="16" t="str">
        <x:v>保留原始数值精度并转换为NUMERIC</x:v>
      </x:c>
      <x:c r="L40" s="16" t="str">
        <x:v>空白、—或/转为NULL并记录质量告警</x:v>
      </x:c>
      <x:c r="M40" s="16" t="str">
        <x:v>数值且非负</x:v>
      </x:c>
      <x:c r="N40" s="16" t="str">
        <x:v>同sample_id已有记录时不得覆盖</x:v>
      </x:c>
      <x:c r="O40" s="16" t="str">
        <x:v>是</x:v>
      </x:c>
      <x:c r="P40" s="16" t="str"/>
    </x:row>
    <x:row r="41" ht="34" customHeight="1">
      <x:c r="A41" s="16" t="str">
        <x:v>M037</x:v>
      </x:c>
      <x:c r="B41" s="16" t="str">
        <x:v>针叶木-打浆转数-纤维特性(1).xlsx</x:v>
      </x:c>
      <x:c r="C41" s="16" t="str">
        <x:v>原始版</x:v>
      </x:c>
      <x:c r="D41" s="16" t="str">
        <x:v>Sheet1</x:v>
      </x:c>
      <x:c r="E41" s="22" t="n">
        <x:v>13</x:v>
      </x:c>
      <x:c r="F41" s="16" t="str">
        <x:v>细小纤维（长度加权比%）</x:v>
      </x:c>
      <x:c r="G41" s="16" t="str">
        <x:v>%</x:v>
      </x:c>
      <x:c r="H41" s="16" t="str">
        <x:v>直接</x:v>
      </x:c>
      <x:c r="I41" s="16" t="str">
        <x:v>fiber_measurement</x:v>
      </x:c>
      <x:c r="J41" s="16" t="str">
        <x:v>fines_weighted_length_pct</x:v>
      </x:c>
      <x:c r="K41" s="16" t="str">
        <x:v>保留原始数值精度并转换为NUMERIC</x:v>
      </x:c>
      <x:c r="L41" s="16" t="str">
        <x:v>空白、—或/转为NULL并记录质量告警</x:v>
      </x:c>
      <x:c r="M41" s="16" t="str">
        <x:v>数值且非负</x:v>
      </x:c>
      <x:c r="N41" s="16" t="str">
        <x:v>同sample_id已有记录时不得覆盖</x:v>
      </x:c>
      <x:c r="O41" s="16" t="str">
        <x:v>是</x:v>
      </x:c>
      <x:c r="P41" s="16" t="str"/>
    </x:row>
    <x:row r="42" ht="34" customHeight="1">
      <x:c r="A42" s="16" t="str">
        <x:v>M038</x:v>
      </x:c>
      <x:c r="B42" s="16" t="str">
        <x:v>针叶木-打浆转数-纤维特性(1).xlsx</x:v>
      </x:c>
      <x:c r="C42" s="16" t="str">
        <x:v>原始版</x:v>
      </x:c>
      <x:c r="D42" s="16" t="str">
        <x:v>Sheet1</x:v>
      </x:c>
      <x:c r="E42" s="22" t="n">
        <x:v>14</x:v>
      </x:c>
      <x:c r="F42" s="16" t="str">
        <x:v>细小纤维面积比（%）</x:v>
      </x:c>
      <x:c r="G42" s="16" t="str">
        <x:v>%</x:v>
      </x:c>
      <x:c r="H42" s="16" t="str">
        <x:v>直接</x:v>
      </x:c>
      <x:c r="I42" s="16" t="str">
        <x:v>fiber_measurement</x:v>
      </x:c>
      <x:c r="J42" s="16" t="str">
        <x:v>fines_area_pct</x:v>
      </x:c>
      <x:c r="K42" s="16" t="str">
        <x:v>保留原始数值精度并转换为NUMERIC</x:v>
      </x:c>
      <x:c r="L42" s="16" t="str">
        <x:v>空白、—或/转为NULL并记录质量告警</x:v>
      </x:c>
      <x:c r="M42" s="16" t="str">
        <x:v>数值且非负</x:v>
      </x:c>
      <x:c r="N42" s="16" t="str">
        <x:v>同sample_id已有记录时不得覆盖</x:v>
      </x:c>
      <x:c r="O42" s="16" t="str">
        <x:v>是</x:v>
      </x:c>
      <x:c r="P42" s="16" t="str"/>
    </x:row>
    <x:row r="43" ht="34" customHeight="1">
      <x:c r="A43" s="16" t="str">
        <x:v>M039</x:v>
      </x:c>
      <x:c r="B43" s="16" t="str">
        <x:v>针叶木-打浆转数-纤维特性(1).xlsx</x:v>
      </x:c>
      <x:c r="C43" s="16" t="str">
        <x:v>原始版</x:v>
      </x:c>
      <x:c r="D43" s="16" t="str">
        <x:v>Sheet1</x:v>
      </x:c>
      <x:c r="E43" s="22" t="n">
        <x:v>0</x:v>
      </x:c>
      <x:c r="F43" s="16" t="str">
        <x:v>〈当前来源行〉</x:v>
      </x:c>
      <x:c r="G43" s="16" t="str">
        <x:v>—</x:v>
      </x:c>
      <x:c r="H43" s="16" t="str">
        <x:v>关联</x:v>
      </x:c>
      <x:c r="I43" s="16" t="str">
        <x:v>fiber_measurement</x:v>
      </x:c>
      <x:c r="J43" s="16" t="str">
        <x:v>source_id</x:v>
      </x:c>
      <x:c r="K43" s="16" t="str">
        <x:v>引用本行data_source.source_id</x:v>
      </x:c>
      <x:c r="L43" s="16" t="str">
        <x:v>禁止为空</x:v>
      </x:c>
      <x:c r="M43" s="16" t="str">
        <x:v>外键有效</x:v>
      </x:c>
      <x:c r="N43" s="16" t="str">
        <x:v>缺失来源不得入库</x:v>
      </x:c>
      <x:c r="O43" s="16" t="str">
        <x:v>是</x:v>
      </x:c>
      <x:c r="P43" s="16" t="str"/>
    </x:row>
    <x:row r="44" ht="34" customHeight="1">
      <x:c r="A44" s="16" t="str">
        <x:v>M040</x:v>
      </x:c>
      <x:c r="B44" s="16" t="str">
        <x:v>针叶木-打浆转数-纸张性能(1).xlsx</x:v>
      </x:c>
      <x:c r="C44" s="16" t="str">
        <x:v>原始版</x:v>
      </x:c>
      <x:c r="D44" s="16" t="str">
        <x:v>Sheet1</x:v>
      </x:c>
      <x:c r="E44" s="22" t="n">
        <x:v>0</x:v>
      </x:c>
      <x:c r="F44" s="16" t="str">
        <x:v>〈文件名〉</x:v>
      </x:c>
      <x:c r="G44" s="16" t="str">
        <x:v>—</x:v>
      </x:c>
      <x:c r="H44" s="16" t="str">
        <x:v>来源元数据</x:v>
      </x:c>
      <x:c r="I44" s="16" t="str">
        <x:v>data_source</x:v>
      </x:c>
      <x:c r="J44" s="16" t="str">
        <x:v>file_name</x:v>
      </x:c>
      <x:c r="K44" s="16" t="str">
        <x:v>写入当前原始文件名</x:v>
      </x:c>
      <x:c r="L44" s="16" t="str">
        <x:v>禁止为空</x:v>
      </x:c>
      <x:c r="M44" s="16" t="str">
        <x:v>必须在正式来源白名单中</x:v>
      </x:c>
      <x:c r="N44" s="16" t="str">
        <x:v>旧复配版或汇总文件立即终止该批</x:v>
      </x:c>
      <x:c r="O44" s="16" t="str">
        <x:v>是</x:v>
      </x:c>
      <x:c r="P44" s="16" t="str"/>
    </x:row>
    <x:row r="45" ht="34" customHeight="1">
      <x:c r="A45" s="16" t="str">
        <x:v>M041</x:v>
      </x:c>
      <x:c r="B45" s="16" t="str">
        <x:v>针叶木-打浆转数-纸张性能(1).xlsx</x:v>
      </x:c>
      <x:c r="C45" s="16" t="str">
        <x:v>原始版</x:v>
      </x:c>
      <x:c r="D45" s="16" t="str">
        <x:v>Sheet1</x:v>
      </x:c>
      <x:c r="E45" s="22" t="n">
        <x:v>0</x:v>
      </x:c>
      <x:c r="F45" s="16" t="str">
        <x:v>〈工作表名〉</x:v>
      </x:c>
      <x:c r="G45" s="16" t="str">
        <x:v>—</x:v>
      </x:c>
      <x:c r="H45" s="16" t="str">
        <x:v>来源元数据</x:v>
      </x:c>
      <x:c r="I45" s="16" t="str">
        <x:v>data_source</x:v>
      </x:c>
      <x:c r="J45" s="16" t="str">
        <x:v>sheet_name</x:v>
      </x:c>
      <x:c r="K45" s="16" t="str">
        <x:v>固定写入Sheet1</x:v>
      </x:c>
      <x:c r="L45" s="16" t="str">
        <x:v>禁止为空</x:v>
      </x:c>
      <x:c r="M45" s="16" t="str">
        <x:v>仅允许有效工作表Sheet1</x:v>
      </x:c>
      <x:c r="N45" s="16" t="str">
        <x:v>空白Sheet2/Sheet3不处理</x:v>
      </x:c>
      <x:c r="O45" s="16" t="str">
        <x:v>是</x:v>
      </x:c>
      <x:c r="P45" s="16" t="str"/>
    </x:row>
    <x:row r="46" ht="34" customHeight="1">
      <x:c r="A46" s="16" t="str">
        <x:v>M042</x:v>
      </x:c>
      <x:c r="B46" s="16" t="str">
        <x:v>针叶木-打浆转数-纸张性能(1).xlsx</x:v>
      </x:c>
      <x:c r="C46" s="16" t="str">
        <x:v>原始版</x:v>
      </x:c>
      <x:c r="D46" s="16" t="str">
        <x:v>Sheet1</x:v>
      </x:c>
      <x:c r="E46" s="22" t="n">
        <x:v>0</x:v>
      </x:c>
      <x:c r="F46" s="16" t="str">
        <x:v>〈Excel行号〉</x:v>
      </x:c>
      <x:c r="G46" s="16" t="str">
        <x:v>行</x:v>
      </x:c>
      <x:c r="H46" s="16" t="str">
        <x:v>系统生成</x:v>
      </x:c>
      <x:c r="I46" s="16" t="str">
        <x:v>data_source</x:v>
      </x:c>
      <x:c r="J46" s="16" t="str">
        <x:v>source_row</x:v>
      </x:c>
      <x:c r="K46" s="16" t="str">
        <x:v>写入原始数据所在Excel实际行号</x:v>
      </x:c>
      <x:c r="L46" s="16" t="str">
        <x:v>禁止为空</x:v>
      </x:c>
      <x:c r="M46" s="16" t="str">
        <x:v>&gt;=2且为整数</x:v>
      </x:c>
      <x:c r="N46" s="16" t="str">
        <x:v>同文件、工作表、行号不得重复</x:v>
      </x:c>
      <x:c r="O46" s="16" t="str">
        <x:v>是</x:v>
      </x:c>
      <x:c r="P46" s="16" t="str"/>
    </x:row>
    <x:row r="47" ht="34" customHeight="1">
      <x:c r="A47" s="16" t="str">
        <x:v>M043</x:v>
      </x:c>
      <x:c r="B47" s="16" t="str">
        <x:v>针叶木-打浆转数-纸张性能(1).xlsx</x:v>
      </x:c>
      <x:c r="C47" s="16" t="str">
        <x:v>原始版</x:v>
      </x:c>
      <x:c r="D47" s="16" t="str">
        <x:v>Sheet1</x:v>
      </x:c>
      <x:c r="E47" s="22" t="n">
        <x:v>0</x:v>
      </x:c>
      <x:c r="F47" s="16" t="str">
        <x:v>〈来源版本〉</x:v>
      </x:c>
      <x:c r="G47" s="16" t="str">
        <x:v>—</x:v>
      </x:c>
      <x:c r="H47" s="16" t="str">
        <x:v>文件上下文</x:v>
      </x:c>
      <x:c r="I47" s="16" t="str">
        <x:v>data_source</x:v>
      </x:c>
      <x:c r="J47" s="16" t="str">
        <x:v>source_version</x:v>
      </x:c>
      <x:c r="K47" s="16" t="str">
        <x:v>固定写入原始版</x:v>
      </x:c>
      <x:c r="L47" s="16" t="str">
        <x:v>禁止为空</x:v>
      </x:c>
      <x:c r="M47" s="16" t="str">
        <x:v>复配文件必须为0110</x:v>
      </x:c>
      <x:c r="N47" s="16" t="str">
        <x:v>旧版不得覆盖0110</x:v>
      </x:c>
      <x:c r="O47" s="16" t="str">
        <x:v>是</x:v>
      </x:c>
      <x:c r="P47" s="16" t="str"/>
    </x:row>
    <x:row r="48" ht="34" customHeight="1">
      <x:c r="A48" s="16" t="str">
        <x:v>M044</x:v>
      </x:c>
      <x:c r="B48" s="16" t="str">
        <x:v>针叶木-打浆转数-纸张性能(1).xlsx</x:v>
      </x:c>
      <x:c r="C48" s="16" t="str">
        <x:v>原始版</x:v>
      </x:c>
      <x:c r="D48" s="16" t="str">
        <x:v>Sheet1</x:v>
      </x:c>
      <x:c r="E48" s="22" t="n">
        <x:v>0</x:v>
      </x:c>
      <x:c r="F48" s="16" t="str">
        <x:v>〈导入时间〉</x:v>
      </x:c>
      <x:c r="G48" s="16" t="str">
        <x:v>—</x:v>
      </x:c>
      <x:c r="H48" s="16" t="str">
        <x:v>系统生成</x:v>
      </x:c>
      <x:c r="I48" s="16" t="str">
        <x:v>data_source</x:v>
      </x:c>
      <x:c r="J48" s="16" t="str">
        <x:v>imported_at</x:v>
      </x:c>
      <x:c r="K48" s="16" t="str">
        <x:v>由PostgreSQL CURRENT_TIMESTAMP生成</x:v>
      </x:c>
      <x:c r="L48" s="16" t="str">
        <x:v>禁止为空</x:v>
      </x:c>
      <x:c r="M48" s="16" t="str">
        <x:v>TIMESTAMPTZ有效值</x:v>
      </x:c>
      <x:c r="N48" s="16" t="str">
        <x:v>不从Excel读取</x:v>
      </x:c>
      <x:c r="O48" s="16" t="str">
        <x:v>是</x:v>
      </x:c>
      <x:c r="P48" s="16" t="str"/>
    </x:row>
    <x:row r="49" ht="34" customHeight="1">
      <x:c r="A49" s="16" t="str">
        <x:v>M045</x:v>
      </x:c>
      <x:c r="B49" s="16" t="str">
        <x:v>针叶木-打浆转数-纸张性能(1).xlsx</x:v>
      </x:c>
      <x:c r="C49" s="16" t="str">
        <x:v>原始版</x:v>
      </x:c>
      <x:c r="D49" s="16" t="str">
        <x:v>Sheet1</x:v>
      </x:c>
      <x:c r="E49" s="22" t="n">
        <x:v>1</x:v>
      </x:c>
      <x:c r="F49" s="16" t="str">
        <x:v>序号</x:v>
      </x:c>
      <x:c r="G49" s="16" t="str">
        <x:v>—</x:v>
      </x:c>
      <x:c r="H49" s="16" t="str">
        <x:v>校验键</x:v>
      </x:c>
      <x:c r="I49" s="16" t="str">
        <x:v>experiment_sample</x:v>
      </x:c>
      <x:c r="J49" s="16" t="str">
        <x:v>display_order</x:v>
      </x:c>
      <x:c r="K49" s="16" t="str">
        <x:v>仅用于核对行顺序，不覆盖打浆度文件</x:v>
      </x:c>
      <x:c r="L49" s="16" t="str">
        <x:v>禁止为空</x:v>
      </x:c>
      <x:c r="M49" s="16" t="str">
        <x:v>正整数</x:v>
      </x:c>
      <x:c r="N49" s="16" t="str">
        <x:v>不一致时终止该批</x:v>
      </x:c>
      <x:c r="O49" s="16" t="str">
        <x:v>是</x:v>
      </x:c>
      <x:c r="P49" s="16" t="str"/>
    </x:row>
    <x:row r="50" ht="34" customHeight="1">
      <x:c r="A50" s="16" t="str">
        <x:v>M046</x:v>
      </x:c>
      <x:c r="B50" s="16" t="str">
        <x:v>针叶木-打浆转数-纸张性能(1).xlsx</x:v>
      </x:c>
      <x:c r="C50" s="16" t="str">
        <x:v>原始版</x:v>
      </x:c>
      <x:c r="D50" s="16" t="str">
        <x:v>Sheet1</x:v>
      </x:c>
      <x:c r="E50" s="22" t="n">
        <x:v>2</x:v>
      </x:c>
      <x:c r="F50" s="16" t="str">
        <x:v>打浆转数/r</x:v>
      </x:c>
      <x:c r="G50" s="16" t="str">
        <x:v>r</x:v>
      </x:c>
      <x:c r="H50" s="16" t="str">
        <x:v>关联键</x:v>
      </x:c>
      <x:c r="I50" s="16" t="str">
        <x:v>paper_measurement</x:v>
      </x:c>
      <x:c r="J50" s="16" t="str">
        <x:v>sample_id</x:v>
      </x:c>
      <x:c r="K50" s="16" t="str">
        <x:v>按SW+打浆转数定位canonical_code并查找sample_id</x:v>
      </x:c>
      <x:c r="L50" s="16" t="str">
        <x:v>禁止为空</x:v>
      </x:c>
      <x:c r="M50" s="16" t="str">
        <x:v>必须唯一命中样本</x:v>
      </x:c>
      <x:c r="N50" s="16" t="str">
        <x:v>不得新建仅存在于测量文件的样本</x:v>
      </x:c>
      <x:c r="O50" s="16" t="str">
        <x:v>是</x:v>
      </x:c>
      <x:c r="P50" s="16" t="str"/>
    </x:row>
    <x:row r="51" ht="34" customHeight="1">
      <x:c r="A51" s="16" t="str">
        <x:v>M047</x:v>
      </x:c>
      <x:c r="B51" s="16" t="str">
        <x:v>针叶木-打浆转数-纸张性能(1).xlsx</x:v>
      </x:c>
      <x:c r="C51" s="16" t="str">
        <x:v>原始版</x:v>
      </x:c>
      <x:c r="D51" s="16" t="str">
        <x:v>Sheet1</x:v>
      </x:c>
      <x:c r="E51" s="22" t="n">
        <x:v>3</x:v>
      </x:c>
      <x:c r="F51" s="16" t="str">
        <x:v>定量(g/m2)</x:v>
      </x:c>
      <x:c r="G51" s="16" t="str">
        <x:v>g/m²</x:v>
      </x:c>
      <x:c r="H51" s="16" t="str">
        <x:v>直接</x:v>
      </x:c>
      <x:c r="I51" s="16" t="str">
        <x:v>paper_measurement</x:v>
      </x:c>
      <x:c r="J51" s="16" t="str">
        <x:v>basis_weight_g_m2</x:v>
      </x:c>
      <x:c r="K51" s="16" t="str">
        <x:v>保留原始数值精度并转换为NUMERIC</x:v>
      </x:c>
      <x:c r="L51" s="16" t="str">
        <x:v>空白、—或/转为NULL并记录质量告警</x:v>
      </x:c>
      <x:c r="M51" s="16" t="str">
        <x:v>数值且非负</x:v>
      </x:c>
      <x:c r="N51" s="16" t="str">
        <x:v>同sample_id已有记录时不得覆盖</x:v>
      </x:c>
      <x:c r="O51" s="16" t="str">
        <x:v>是</x:v>
      </x:c>
      <x:c r="P51" s="16" t="str"/>
    </x:row>
    <x:row r="52" ht="34" customHeight="1">
      <x:c r="A52" s="16" t="str">
        <x:v>M048</x:v>
      </x:c>
      <x:c r="B52" s="16" t="str">
        <x:v>针叶木-打浆转数-纸张性能(1).xlsx</x:v>
      </x:c>
      <x:c r="C52" s="16" t="str">
        <x:v>原始版</x:v>
      </x:c>
      <x:c r="D52" s="16" t="str">
        <x:v>Sheet1</x:v>
      </x:c>
      <x:c r="E52" s="22" t="n">
        <x:v>4</x:v>
      </x:c>
      <x:c r="F52" s="16" t="str">
        <x:v>厚度(μm)</x:v>
      </x:c>
      <x:c r="G52" s="16" t="str">
        <x:v>μm</x:v>
      </x:c>
      <x:c r="H52" s="16" t="str">
        <x:v>直接</x:v>
      </x:c>
      <x:c r="I52" s="16" t="str">
        <x:v>paper_measurement</x:v>
      </x:c>
      <x:c r="J52" s="16" t="str">
        <x:v>thickness_um</x:v>
      </x:c>
      <x:c r="K52" s="16" t="str">
        <x:v>保留原始数值精度并转换为NUMERIC</x:v>
      </x:c>
      <x:c r="L52" s="16" t="str">
        <x:v>空白、—或/转为NULL并记录质量告警</x:v>
      </x:c>
      <x:c r="M52" s="16" t="str">
        <x:v>数值且非负</x:v>
      </x:c>
      <x:c r="N52" s="16" t="str">
        <x:v>同sample_id已有记录时不得覆盖</x:v>
      </x:c>
      <x:c r="O52" s="16" t="str">
        <x:v>是</x:v>
      </x:c>
      <x:c r="P52" s="16" t="str"/>
    </x:row>
    <x:row r="53" ht="34" customHeight="1">
      <x:c r="A53" s="16" t="str">
        <x:v>M049</x:v>
      </x:c>
      <x:c r="B53" s="16" t="str">
        <x:v>针叶木-打浆转数-纸张性能(1).xlsx</x:v>
      </x:c>
      <x:c r="C53" s="16" t="str">
        <x:v>原始版</x:v>
      </x:c>
      <x:c r="D53" s="16" t="str">
        <x:v>Sheet1</x:v>
      </x:c>
      <x:c r="E53" s="22" t="n">
        <x:v>5</x:v>
      </x:c>
      <x:c r="F53" s="16" t="str">
        <x:v>耐破指数(kPa·m2·g-1)</x:v>
      </x:c>
      <x:c r="G53" s="16" t="str">
        <x:v>kPa·m²/g</x:v>
      </x:c>
      <x:c r="H53" s="16" t="str">
        <x:v>直接</x:v>
      </x:c>
      <x:c r="I53" s="16" t="str">
        <x:v>paper_measurement</x:v>
      </x:c>
      <x:c r="J53" s="16" t="str">
        <x:v>burst_index</x:v>
      </x:c>
      <x:c r="K53" s="16" t="str">
        <x:v>保留原始数值精度并转换为NUMERIC</x:v>
      </x:c>
      <x:c r="L53" s="16" t="str">
        <x:v>空白、—或/转为NULL并记录质量告警</x:v>
      </x:c>
      <x:c r="M53" s="16" t="str">
        <x:v>数值且非负</x:v>
      </x:c>
      <x:c r="N53" s="16" t="str">
        <x:v>同sample_id已有记录时不得覆盖</x:v>
      </x:c>
      <x:c r="O53" s="16" t="str">
        <x:v>是</x:v>
      </x:c>
      <x:c r="P53" s="16" t="str"/>
    </x:row>
    <x:row r="54" ht="34" customHeight="1">
      <x:c r="A54" s="16" t="str">
        <x:v>M050</x:v>
      </x:c>
      <x:c r="B54" s="16" t="str">
        <x:v>针叶木-打浆转数-纸张性能(1).xlsx</x:v>
      </x:c>
      <x:c r="C54" s="16" t="str">
        <x:v>原始版</x:v>
      </x:c>
      <x:c r="D54" s="16" t="str">
        <x:v>Sheet1</x:v>
      </x:c>
      <x:c r="E54" s="22" t="n">
        <x:v>6</x:v>
      </x:c>
      <x:c r="F54" s="16" t="str">
        <x:v>撕裂指数(mN·m2·g-1)</x:v>
      </x:c>
      <x:c r="G54" s="16" t="str">
        <x:v>mN·m²/g</x:v>
      </x:c>
      <x:c r="H54" s="16" t="str">
        <x:v>直接</x:v>
      </x:c>
      <x:c r="I54" s="16" t="str">
        <x:v>paper_measurement</x:v>
      </x:c>
      <x:c r="J54" s="16" t="str">
        <x:v>tear_index</x:v>
      </x:c>
      <x:c r="K54" s="16" t="str">
        <x:v>保留原始数值精度并转换为NUMERIC</x:v>
      </x:c>
      <x:c r="L54" s="16" t="str">
        <x:v>空白、—或/转为NULL并记录质量告警</x:v>
      </x:c>
      <x:c r="M54" s="16" t="str">
        <x:v>数值且非负</x:v>
      </x:c>
      <x:c r="N54" s="16" t="str">
        <x:v>同sample_id已有记录时不得覆盖</x:v>
      </x:c>
      <x:c r="O54" s="16" t="str">
        <x:v>是</x:v>
      </x:c>
      <x:c r="P54" s="16" t="str"/>
    </x:row>
    <x:row r="55" ht="34" customHeight="1">
      <x:c r="A55" s="16" t="str">
        <x:v>M051</x:v>
      </x:c>
      <x:c r="B55" s="16" t="str">
        <x:v>针叶木-打浆转数-纸张性能(1).xlsx</x:v>
      </x:c>
      <x:c r="C55" s="16" t="str">
        <x:v>原始版</x:v>
      </x:c>
      <x:c r="D55" s="16" t="str">
        <x:v>Sheet1</x:v>
      </x:c>
      <x:c r="E55" s="22" t="n">
        <x:v>7</x:v>
      </x:c>
      <x:c r="F55" s="16" t="str">
        <x:v>抗张指数(N·m·g-1)</x:v>
      </x:c>
      <x:c r="G55" s="16" t="str">
        <x:v>N·m/g</x:v>
      </x:c>
      <x:c r="H55" s="16" t="str">
        <x:v>直接</x:v>
      </x:c>
      <x:c r="I55" s="16" t="str">
        <x:v>paper_measurement</x:v>
      </x:c>
      <x:c r="J55" s="16" t="str">
        <x:v>tensile_index</x:v>
      </x:c>
      <x:c r="K55" s="16" t="str">
        <x:v>保留原始数值精度并转换为NUMERIC</x:v>
      </x:c>
      <x:c r="L55" s="16" t="str">
        <x:v>空白、—或/转为NULL并记录质量告警</x:v>
      </x:c>
      <x:c r="M55" s="16" t="str">
        <x:v>数值且非负</x:v>
      </x:c>
      <x:c r="N55" s="16" t="str">
        <x:v>同sample_id已有记录时不得覆盖</x:v>
      </x:c>
      <x:c r="O55" s="16" t="str">
        <x:v>是</x:v>
      </x:c>
      <x:c r="P55" s="16" t="str"/>
    </x:row>
    <x:row r="56" ht="34" customHeight="1">
      <x:c r="A56" s="16" t="str">
        <x:v>M052</x:v>
      </x:c>
      <x:c r="B56" s="16" t="str">
        <x:v>针叶木-打浆转数-纸张性能(1).xlsx</x:v>
      </x:c>
      <x:c r="C56" s="16" t="str">
        <x:v>原始版</x:v>
      </x:c>
      <x:c r="D56" s="16" t="str">
        <x:v>Sheet1</x:v>
      </x:c>
      <x:c r="E56" s="22" t="n">
        <x:v>8</x:v>
      </x:c>
      <x:c r="F56" s="16" t="str">
        <x:v>零距抗张强度(N/cm)</x:v>
      </x:c>
      <x:c r="G56" s="16" t="str">
        <x:v>N/cm</x:v>
      </x:c>
      <x:c r="H56" s="16" t="str">
        <x:v>直接</x:v>
      </x:c>
      <x:c r="I56" s="16" t="str">
        <x:v>paper_measurement</x:v>
      </x:c>
      <x:c r="J56" s="16" t="str">
        <x:v>zero_span_tensile</x:v>
      </x:c>
      <x:c r="K56" s="16" t="str">
        <x:v>保留原始数值精度并转换为NUMERIC</x:v>
      </x:c>
      <x:c r="L56" s="16" t="str">
        <x:v>空白、—或/转为NULL并记录质量告警</x:v>
      </x:c>
      <x:c r="M56" s="16" t="str">
        <x:v>数值且非负</x:v>
      </x:c>
      <x:c r="N56" s="16" t="str">
        <x:v>同sample_id已有记录时不得覆盖</x:v>
      </x:c>
      <x:c r="O56" s="16" t="str">
        <x:v>是</x:v>
      </x:c>
      <x:c r="P56" s="16" t="str"/>
    </x:row>
    <x:row r="57" ht="34" customHeight="1">
      <x:c r="A57" s="16" t="str">
        <x:v>M053</x:v>
      </x:c>
      <x:c r="B57" s="16" t="str">
        <x:v>针叶木-打浆转数-纸张性能(1).xlsx</x:v>
      </x:c>
      <x:c r="C57" s="16" t="str">
        <x:v>原始版</x:v>
      </x:c>
      <x:c r="D57" s="16" t="str">
        <x:v>Sheet1</x:v>
      </x:c>
      <x:c r="E57" s="22" t="n">
        <x:v>9</x:v>
      </x:c>
      <x:c r="F57" s="16" t="str">
        <x:v>表面粗糙度(ml/min)</x:v>
      </x:c>
      <x:c r="G57" s="16" t="str">
        <x:v>ml/min</x:v>
      </x:c>
      <x:c r="H57" s="16" t="str">
        <x:v>直接</x:v>
      </x:c>
      <x:c r="I57" s="16" t="str">
        <x:v>paper_measurement</x:v>
      </x:c>
      <x:c r="J57" s="16" t="str">
        <x:v>surface_roughness</x:v>
      </x:c>
      <x:c r="K57" s="16" t="str">
        <x:v>保留原始数值精度并转换为NUMERIC</x:v>
      </x:c>
      <x:c r="L57" s="16" t="str">
        <x:v>空白、—或/转为NULL并记录质量告警</x:v>
      </x:c>
      <x:c r="M57" s="16" t="str">
        <x:v>数值且非负</x:v>
      </x:c>
      <x:c r="N57" s="16" t="str">
        <x:v>同sample_id已有记录时不得覆盖</x:v>
      </x:c>
      <x:c r="O57" s="16" t="str">
        <x:v>是</x:v>
      </x:c>
      <x:c r="P57" s="16" t="str"/>
    </x:row>
    <x:row r="58" ht="34" customHeight="1">
      <x:c r="A58" s="16" t="str">
        <x:v>M054</x:v>
      </x:c>
      <x:c r="B58" s="16" t="str">
        <x:v>针叶木-打浆转数-纸张性能(1).xlsx</x:v>
      </x:c>
      <x:c r="C58" s="16" t="str">
        <x:v>原始版</x:v>
      </x:c>
      <x:c r="D58" s="16" t="str">
        <x:v>Sheet1</x:v>
      </x:c>
      <x:c r="E58" s="22" t="n">
        <x:v>10</x:v>
      </x:c>
      <x:c r="F58" s="16" t="str">
        <x:v>透气度</x:v>
      </x:c>
      <x:c r="G58" s="16" t="str">
        <x:v>源表未标注；设计暂定μm/(Pa·s)</x:v>
      </x:c>
      <x:c r="H58" s="16" t="str">
        <x:v>直接</x:v>
      </x:c>
      <x:c r="I58" s="16" t="str">
        <x:v>paper_measurement</x:v>
      </x:c>
      <x:c r="J58" s="16" t="str">
        <x:v>air_permeability</x:v>
      </x:c>
      <x:c r="K58" s="16" t="str">
        <x:v>保留原始数值精度并转换为NUMERIC</x:v>
      </x:c>
      <x:c r="L58" s="16" t="str">
        <x:v>空白、—或/转为NULL并记录质量告警</x:v>
      </x:c>
      <x:c r="M58" s="16" t="str">
        <x:v>数值且非负</x:v>
      </x:c>
      <x:c r="N58" s="16" t="str">
        <x:v>同sample_id已有记录时不得覆盖</x:v>
      </x:c>
      <x:c r="O58" s="16" t="str">
        <x:v>是</x:v>
      </x:c>
      <x:c r="P58" s="16" t="str">
        <x:v>单位状态见字段数据字典</x:v>
      </x:c>
    </x:row>
    <x:row r="59" ht="34" customHeight="1">
      <x:c r="A59" s="16" t="str">
        <x:v>M055</x:v>
      </x:c>
      <x:c r="B59" s="16" t="str">
        <x:v>针叶木-打浆转数-纸张性能(1).xlsx</x:v>
      </x:c>
      <x:c r="C59" s="16" t="str">
        <x:v>原始版</x:v>
      </x:c>
      <x:c r="D59" s="16" t="str">
        <x:v>Sheet1</x:v>
      </x:c>
      <x:c r="E59" s="22" t="n">
        <x:v>11</x:v>
      </x:c>
      <x:c r="F59" s="16" t="str">
        <x:v>耐折度</x:v>
      </x:c>
      <x:c r="G59" s="16" t="str">
        <x:v>待确认</x:v>
      </x:c>
      <x:c r="H59" s="16" t="str">
        <x:v>直接</x:v>
      </x:c>
      <x:c r="I59" s="16" t="str">
        <x:v>paper_measurement</x:v>
      </x:c>
      <x:c r="J59" s="16" t="str">
        <x:v>folding_endurance_raw</x:v>
      </x:c>
      <x:c r="K59" s="16" t="str">
        <x:v>保留原始数值精度并转换为NUMERIC</x:v>
      </x:c>
      <x:c r="L59" s="16" t="str">
        <x:v>空白、—或/转为NULL并记录质量告警</x:v>
      </x:c>
      <x:c r="M59" s="16" t="str">
        <x:v>数值且非负</x:v>
      </x:c>
      <x:c r="N59" s="16" t="str">
        <x:v>同sample_id已有记录时不得覆盖</x:v>
      </x:c>
      <x:c r="O59" s="16" t="str">
        <x:v>是</x:v>
      </x:c>
      <x:c r="P59" s="16" t="str">
        <x:v>单位状态见字段数据字典</x:v>
      </x:c>
    </x:row>
    <x:row r="60" ht="34" customHeight="1">
      <x:c r="A60" s="16" t="str">
        <x:v>M056</x:v>
      </x:c>
      <x:c r="B60" s="16" t="str">
        <x:v>针叶木-打浆转数-纸张性能(1).xlsx</x:v>
      </x:c>
      <x:c r="C60" s="16" t="str">
        <x:v>原始版</x:v>
      </x:c>
      <x:c r="D60" s="16" t="str">
        <x:v>Sheet1</x:v>
      </x:c>
      <x:c r="E60" s="22" t="n">
        <x:v>0</x:v>
      </x:c>
      <x:c r="F60" s="16" t="str">
        <x:v>〈实验规则〉</x:v>
      </x:c>
      <x:c r="G60" s="16" t="str">
        <x:v>次</x:v>
      </x:c>
      <x:c r="H60" s="16" t="str">
        <x:v>常量</x:v>
      </x:c>
      <x:c r="I60" s="16" t="str">
        <x:v>paper_measurement</x:v>
      </x:c>
      <x:c r="J60" s="16" t="str">
        <x:v>replicate_count</x:v>
      </x:c>
      <x:c r="K60" s="16" t="str">
        <x:v>固定写入3</x:v>
      </x:c>
      <x:c r="L60" s="16" t="str">
        <x:v>禁止为空</x:v>
      </x:c>
      <x:c r="M60" s="16" t="str">
        <x:v>等于3</x:v>
      </x:c>
      <x:c r="N60" s="16" t="str">
        <x:v>不从Excel重复计算</x:v>
      </x:c>
      <x:c r="O60" s="16" t="str">
        <x:v>是</x:v>
      </x:c>
      <x:c r="P60" s="16" t="str"/>
    </x:row>
    <x:row r="61" ht="34" customHeight="1">
      <x:c r="A61" s="16" t="str">
        <x:v>M057</x:v>
      </x:c>
      <x:c r="B61" s="16" t="str">
        <x:v>针叶木-打浆转数-纸张性能(1).xlsx</x:v>
      </x:c>
      <x:c r="C61" s="16" t="str">
        <x:v>原始版</x:v>
      </x:c>
      <x:c r="D61" s="16" t="str">
        <x:v>Sheet1</x:v>
      </x:c>
      <x:c r="E61" s="22" t="n">
        <x:v>0</x:v>
      </x:c>
      <x:c r="F61" s="16" t="str">
        <x:v>〈实验规则〉</x:v>
      </x:c>
      <x:c r="G61" s="16" t="str">
        <x:v>—</x:v>
      </x:c>
      <x:c r="H61" s="16" t="str">
        <x:v>常量</x:v>
      </x:c>
      <x:c r="I61" s="16" t="str">
        <x:v>paper_measurement</x:v>
      </x:c>
      <x:c r="J61" s="16" t="str">
        <x:v>aggregation_method</x:v>
      </x:c>
      <x:c r="K61" s="16" t="str">
        <x:v>固定写入“剔除偏差值后取最终均值”</x:v>
      </x:c>
      <x:c r="L61" s="16" t="str">
        <x:v>禁止为空</x:v>
      </x:c>
      <x:c r="M61" s="16" t="str">
        <x:v>非空</x:v>
      </x:c>
      <x:c r="N61" s="16" t="str">
        <x:v>源表数值按最终均值接收</x:v>
      </x:c>
      <x:c r="O61" s="16" t="str">
        <x:v>是</x:v>
      </x:c>
      <x:c r="P61" s="16" t="str"/>
    </x:row>
    <x:row r="62" ht="34" customHeight="1">
      <x:c r="A62" s="16" t="str">
        <x:v>M058</x:v>
      </x:c>
      <x:c r="B62" s="16" t="str">
        <x:v>针叶木-打浆转数-纸张性能(1).xlsx</x:v>
      </x:c>
      <x:c r="C62" s="16" t="str">
        <x:v>原始版</x:v>
      </x:c>
      <x:c r="D62" s="16" t="str">
        <x:v>Sheet1</x:v>
      </x:c>
      <x:c r="E62" s="22" t="n">
        <x:v>0</x:v>
      </x:c>
      <x:c r="F62" s="16" t="str">
        <x:v>〈当前来源行〉</x:v>
      </x:c>
      <x:c r="G62" s="16" t="str">
        <x:v>—</x:v>
      </x:c>
      <x:c r="H62" s="16" t="str">
        <x:v>关联</x:v>
      </x:c>
      <x:c r="I62" s="16" t="str">
        <x:v>paper_measurement</x:v>
      </x:c>
      <x:c r="J62" s="16" t="str">
        <x:v>source_id</x:v>
      </x:c>
      <x:c r="K62" s="16" t="str">
        <x:v>引用本行data_source.source_id</x:v>
      </x:c>
      <x:c r="L62" s="16" t="str">
        <x:v>禁止为空</x:v>
      </x:c>
      <x:c r="M62" s="16" t="str">
        <x:v>外键有效</x:v>
      </x:c>
      <x:c r="N62" s="16" t="str">
        <x:v>缺失来源不得入库</x:v>
      </x:c>
      <x:c r="O62" s="16" t="str">
        <x:v>是</x:v>
      </x:c>
      <x:c r="P62" s="16" t="str"/>
    </x:row>
    <x:row r="63" ht="34" customHeight="1">
      <x:c r="A63" s="16" t="str">
        <x:v>M059</x:v>
      </x:c>
      <x:c r="B63" s="16" t="str">
        <x:v>data1-阔叶木-打浆转数-打浆度(1).xlsx</x:v>
      </x:c>
      <x:c r="C63" s="16" t="str">
        <x:v>原始版</x:v>
      </x:c>
      <x:c r="D63" s="16" t="str">
        <x:v>Sheet1</x:v>
      </x:c>
      <x:c r="E63" s="22" t="n">
        <x:v>0</x:v>
      </x:c>
      <x:c r="F63" s="16" t="str">
        <x:v>〈文件名〉</x:v>
      </x:c>
      <x:c r="G63" s="16" t="str">
        <x:v>—</x:v>
      </x:c>
      <x:c r="H63" s="16" t="str">
        <x:v>来源元数据</x:v>
      </x:c>
      <x:c r="I63" s="16" t="str">
        <x:v>data_source</x:v>
      </x:c>
      <x:c r="J63" s="16" t="str">
        <x:v>file_name</x:v>
      </x:c>
      <x:c r="K63" s="16" t="str">
        <x:v>写入当前原始文件名</x:v>
      </x:c>
      <x:c r="L63" s="16" t="str">
        <x:v>禁止为空</x:v>
      </x:c>
      <x:c r="M63" s="16" t="str">
        <x:v>必须在正式来源白名单中</x:v>
      </x:c>
      <x:c r="N63" s="16" t="str">
        <x:v>旧复配版或汇总文件立即终止该批</x:v>
      </x:c>
      <x:c r="O63" s="16" t="str">
        <x:v>是</x:v>
      </x:c>
      <x:c r="P63" s="16" t="str"/>
    </x:row>
    <x:row r="64" ht="34" customHeight="1">
      <x:c r="A64" s="16" t="str">
        <x:v>M060</x:v>
      </x:c>
      <x:c r="B64" s="16" t="str">
        <x:v>data1-阔叶木-打浆转数-打浆度(1).xlsx</x:v>
      </x:c>
      <x:c r="C64" s="16" t="str">
        <x:v>原始版</x:v>
      </x:c>
      <x:c r="D64" s="16" t="str">
        <x:v>Sheet1</x:v>
      </x:c>
      <x:c r="E64" s="22" t="n">
        <x:v>0</x:v>
      </x:c>
      <x:c r="F64" s="16" t="str">
        <x:v>〈工作表名〉</x:v>
      </x:c>
      <x:c r="G64" s="16" t="str">
        <x:v>—</x:v>
      </x:c>
      <x:c r="H64" s="16" t="str">
        <x:v>来源元数据</x:v>
      </x:c>
      <x:c r="I64" s="16" t="str">
        <x:v>data_source</x:v>
      </x:c>
      <x:c r="J64" s="16" t="str">
        <x:v>sheet_name</x:v>
      </x:c>
      <x:c r="K64" s="16" t="str">
        <x:v>固定写入Sheet1</x:v>
      </x:c>
      <x:c r="L64" s="16" t="str">
        <x:v>禁止为空</x:v>
      </x:c>
      <x:c r="M64" s="16" t="str">
        <x:v>仅允许有效工作表Sheet1</x:v>
      </x:c>
      <x:c r="N64" s="16" t="str">
        <x:v>空白Sheet2/Sheet3不处理</x:v>
      </x:c>
      <x:c r="O64" s="16" t="str">
        <x:v>是</x:v>
      </x:c>
      <x:c r="P64" s="16" t="str"/>
    </x:row>
    <x:row r="65" ht="34" customHeight="1">
      <x:c r="A65" s="16" t="str">
        <x:v>M061</x:v>
      </x:c>
      <x:c r="B65" s="16" t="str">
        <x:v>data1-阔叶木-打浆转数-打浆度(1).xlsx</x:v>
      </x:c>
      <x:c r="C65" s="16" t="str">
        <x:v>原始版</x:v>
      </x:c>
      <x:c r="D65" s="16" t="str">
        <x:v>Sheet1</x:v>
      </x:c>
      <x:c r="E65" s="22" t="n">
        <x:v>0</x:v>
      </x:c>
      <x:c r="F65" s="16" t="str">
        <x:v>〈Excel行号〉</x:v>
      </x:c>
      <x:c r="G65" s="16" t="str">
        <x:v>行</x:v>
      </x:c>
      <x:c r="H65" s="16" t="str">
        <x:v>系统生成</x:v>
      </x:c>
      <x:c r="I65" s="16" t="str">
        <x:v>data_source</x:v>
      </x:c>
      <x:c r="J65" s="16" t="str">
        <x:v>source_row</x:v>
      </x:c>
      <x:c r="K65" s="16" t="str">
        <x:v>写入原始数据所在Excel实际行号</x:v>
      </x:c>
      <x:c r="L65" s="16" t="str">
        <x:v>禁止为空</x:v>
      </x:c>
      <x:c r="M65" s="16" t="str">
        <x:v>&gt;=2且为整数</x:v>
      </x:c>
      <x:c r="N65" s="16" t="str">
        <x:v>同文件、工作表、行号不得重复</x:v>
      </x:c>
      <x:c r="O65" s="16" t="str">
        <x:v>是</x:v>
      </x:c>
      <x:c r="P65" s="16" t="str"/>
    </x:row>
    <x:row r="66" ht="34" customHeight="1">
      <x:c r="A66" s="16" t="str">
        <x:v>M062</x:v>
      </x:c>
      <x:c r="B66" s="16" t="str">
        <x:v>data1-阔叶木-打浆转数-打浆度(1).xlsx</x:v>
      </x:c>
      <x:c r="C66" s="16" t="str">
        <x:v>原始版</x:v>
      </x:c>
      <x:c r="D66" s="16" t="str">
        <x:v>Sheet1</x:v>
      </x:c>
      <x:c r="E66" s="22" t="n">
        <x:v>0</x:v>
      </x:c>
      <x:c r="F66" s="16" t="str">
        <x:v>〈来源版本〉</x:v>
      </x:c>
      <x:c r="G66" s="16" t="str">
        <x:v>—</x:v>
      </x:c>
      <x:c r="H66" s="16" t="str">
        <x:v>文件上下文</x:v>
      </x:c>
      <x:c r="I66" s="16" t="str">
        <x:v>data_source</x:v>
      </x:c>
      <x:c r="J66" s="16" t="str">
        <x:v>source_version</x:v>
      </x:c>
      <x:c r="K66" s="16" t="str">
        <x:v>固定写入原始版</x:v>
      </x:c>
      <x:c r="L66" s="16" t="str">
        <x:v>禁止为空</x:v>
      </x:c>
      <x:c r="M66" s="16" t="str">
        <x:v>复配文件必须为0110</x:v>
      </x:c>
      <x:c r="N66" s="16" t="str">
        <x:v>旧版不得覆盖0110</x:v>
      </x:c>
      <x:c r="O66" s="16" t="str">
        <x:v>是</x:v>
      </x:c>
      <x:c r="P66" s="16" t="str"/>
    </x:row>
    <x:row r="67" ht="34" customHeight="1">
      <x:c r="A67" s="16" t="str">
        <x:v>M063</x:v>
      </x:c>
      <x:c r="B67" s="16" t="str">
        <x:v>data1-阔叶木-打浆转数-打浆度(1).xlsx</x:v>
      </x:c>
      <x:c r="C67" s="16" t="str">
        <x:v>原始版</x:v>
      </x:c>
      <x:c r="D67" s="16" t="str">
        <x:v>Sheet1</x:v>
      </x:c>
      <x:c r="E67" s="22" t="n">
        <x:v>0</x:v>
      </x:c>
      <x:c r="F67" s="16" t="str">
        <x:v>〈导入时间〉</x:v>
      </x:c>
      <x:c r="G67" s="16" t="str">
        <x:v>—</x:v>
      </x:c>
      <x:c r="H67" s="16" t="str">
        <x:v>系统生成</x:v>
      </x:c>
      <x:c r="I67" s="16" t="str">
        <x:v>data_source</x:v>
      </x:c>
      <x:c r="J67" s="16" t="str">
        <x:v>imported_at</x:v>
      </x:c>
      <x:c r="K67" s="16" t="str">
        <x:v>由PostgreSQL CURRENT_TIMESTAMP生成</x:v>
      </x:c>
      <x:c r="L67" s="16" t="str">
        <x:v>禁止为空</x:v>
      </x:c>
      <x:c r="M67" s="16" t="str">
        <x:v>TIMESTAMPTZ有效值</x:v>
      </x:c>
      <x:c r="N67" s="16" t="str">
        <x:v>不从Excel读取</x:v>
      </x:c>
      <x:c r="O67" s="16" t="str">
        <x:v>是</x:v>
      </x:c>
      <x:c r="P67" s="16" t="str"/>
    </x:row>
    <x:row r="68" ht="34" customHeight="1">
      <x:c r="A68" s="16" t="str">
        <x:v>M064</x:v>
      </x:c>
      <x:c r="B68" s="16" t="str">
        <x:v>data1-阔叶木-打浆转数-打浆度(1).xlsx</x:v>
      </x:c>
      <x:c r="C68" s="16" t="str">
        <x:v>原始版</x:v>
      </x:c>
      <x:c r="D68" s="16" t="str">
        <x:v>Sheet1</x:v>
      </x:c>
      <x:c r="E68" s="22" t="n">
        <x:v>1</x:v>
      </x:c>
      <x:c r="F68" s="16" t="str">
        <x:v>序号</x:v>
      </x:c>
      <x:c r="G68" s="16" t="str">
        <x:v>—</x:v>
      </x:c>
      <x:c r="H68" s="16" t="str">
        <x:v>直接/生成</x:v>
      </x:c>
      <x:c r="I68" s="16" t="str">
        <x:v>experiment_sample</x:v>
      </x:c>
      <x:c r="J68" s="16" t="str">
        <x:v>display_code</x:v>
      </x:c>
      <x:c r="K68" s="16" t="str">
        <x:v>转为文本作为实验内编号</x:v>
      </x:c>
      <x:c r="L68" s="16" t="str">
        <x:v>禁止为空</x:v>
      </x:c>
      <x:c r="M68" s="16" t="str">
        <x:v>正整数且实验内唯一</x:v>
      </x:c>
      <x:c r="N68" s="16" t="str">
        <x:v>打浆度文件为展示点权威来源</x:v>
      </x:c>
      <x:c r="O68" s="16" t="str">
        <x:v>是</x:v>
      </x:c>
      <x:c r="P68" s="16" t="str"/>
    </x:row>
    <x:row r="69" ht="34" customHeight="1">
      <x:c r="A69" s="16" t="str">
        <x:v>M065</x:v>
      </x:c>
      <x:c r="B69" s="16" t="str">
        <x:v>data1-阔叶木-打浆转数-打浆度(1).xlsx</x:v>
      </x:c>
      <x:c r="C69" s="16" t="str">
        <x:v>原始版</x:v>
      </x:c>
      <x:c r="D69" s="16" t="str">
        <x:v>Sheet1</x:v>
      </x:c>
      <x:c r="E69" s="22" t="n">
        <x:v>1</x:v>
      </x:c>
      <x:c r="F69" s="16" t="str">
        <x:v>序号</x:v>
      </x:c>
      <x:c r="G69" s="16" t="str">
        <x:v>—</x:v>
      </x:c>
      <x:c r="H69" s="16" t="str">
        <x:v>直接</x:v>
      </x:c>
      <x:c r="I69" s="16" t="str">
        <x:v>experiment_sample</x:v>
      </x:c>
      <x:c r="J69" s="16" t="str">
        <x:v>display_order</x:v>
      </x:c>
      <x:c r="K69" s="16" t="str">
        <x:v>转为整数</x:v>
      </x:c>
      <x:c r="L69" s="16" t="str">
        <x:v>禁止为空</x:v>
      </x:c>
      <x:c r="M69" s="16" t="str">
        <x:v>&gt;0且连续递增</x:v>
      </x:c>
      <x:c r="N69" s="16" t="str">
        <x:v>与display_code顺序一致</x:v>
      </x:c>
      <x:c r="O69" s="16" t="str">
        <x:v>是</x:v>
      </x:c>
      <x:c r="P69" s="16" t="str"/>
    </x:row>
    <x:row r="70" ht="34" customHeight="1">
      <x:c r="A70" s="16" t="str">
        <x:v>M066</x:v>
      </x:c>
      <x:c r="B70" s="16" t="str">
        <x:v>data1-阔叶木-打浆转数-打浆度(1).xlsx</x:v>
      </x:c>
      <x:c r="C70" s="16" t="str">
        <x:v>原始版</x:v>
      </x:c>
      <x:c r="D70" s="16" t="str">
        <x:v>Sheet1</x:v>
      </x:c>
      <x:c r="E70" s="22" t="n">
        <x:v>2</x:v>
      </x:c>
      <x:c r="F70" s="16" t="str">
        <x:v>打浆转数/r</x:v>
      </x:c>
      <x:c r="G70" s="16" t="str">
        <x:v>r</x:v>
      </x:c>
      <x:c r="H70" s="16" t="str">
        <x:v>直接</x:v>
      </x:c>
      <x:c r="I70" s="16" t="str">
        <x:v>sample_component</x:v>
      </x:c>
      <x:c r="J70" s="16" t="str">
        <x:v>beating_revolutions</x:v>
      </x:c>
      <x:c r="K70" s="16" t="str">
        <x:v>转为整数</x:v>
      </x:c>
      <x:c r="L70" s="16" t="str">
        <x:v>禁止为空</x:v>
      </x:c>
      <x:c r="M70" s="16" t="str">
        <x:v>&gt;=0</x:v>
      </x:c>
      <x:c r="N70" s="16" t="str">
        <x:v>同材种同转数只能定位一个样本</x:v>
      </x:c>
      <x:c r="O70" s="16" t="str">
        <x:v>是</x:v>
      </x:c>
      <x:c r="P70" s="16" t="str"/>
    </x:row>
    <x:row r="71" ht="34" customHeight="1">
      <x:c r="A71" s="16" t="str">
        <x:v>M067</x:v>
      </x:c>
      <x:c r="B71" s="16" t="str">
        <x:v>data1-阔叶木-打浆转数-打浆度(1).xlsx</x:v>
      </x:c>
      <x:c r="C71" s="16" t="str">
        <x:v>原始版</x:v>
      </x:c>
      <x:c r="D71" s="16" t="str">
        <x:v>Sheet1</x:v>
      </x:c>
      <x:c r="E71" s="22" t="n">
        <x:v>3</x:v>
      </x:c>
      <x:c r="F71" s="16" t="str">
        <x:v>打浆度/°SR</x:v>
      </x:c>
      <x:c r="G71" s="16" t="str">
        <x:v>°SR</x:v>
      </x:c>
      <x:c r="H71" s="16" t="str">
        <x:v>直接</x:v>
      </x:c>
      <x:c r="I71" s="16" t="str">
        <x:v>sample_component</x:v>
      </x:c>
      <x:c r="J71" s="16" t="str">
        <x:v>beating_degree_sr</x:v>
      </x:c>
      <x:c r="K71" s="16" t="str">
        <x:v>转为NUMERIC(5,1)</x:v>
      </x:c>
      <x:c r="L71" s="16" t="str">
        <x:v>禁止为空</x:v>
      </x:c>
      <x:c r="M71" s="16" t="str">
        <x:v>&gt;=0</x:v>
      </x:c>
      <x:c r="N71" s="16" t="str">
        <x:v>打浆度文件为权威值</x:v>
      </x:c>
      <x:c r="O71" s="16" t="str">
        <x:v>是</x:v>
      </x:c>
      <x:c r="P71" s="16" t="str"/>
    </x:row>
    <x:row r="72" ht="34" customHeight="1">
      <x:c r="A72" s="16" t="str">
        <x:v>M068</x:v>
      </x:c>
      <x:c r="B72" s="16" t="str">
        <x:v>data1-阔叶木-打浆转数-打浆度(1).xlsx</x:v>
      </x:c>
      <x:c r="C72" s="16" t="str">
        <x:v>原始版</x:v>
      </x:c>
      <x:c r="D72" s="16" t="str">
        <x:v>Sheet1</x:v>
      </x:c>
      <x:c r="E72" s="22" t="n">
        <x:v>0</x:v>
      </x:c>
      <x:c r="F72" s="16" t="str">
        <x:v>〈材种+打浆转数〉</x:v>
      </x:c>
      <x:c r="G72" s="16" t="str">
        <x:v>—</x:v>
      </x:c>
      <x:c r="H72" s="16" t="str">
        <x:v>派生</x:v>
      </x:c>
      <x:c r="I72" s="16" t="str">
        <x:v>sample</x:v>
      </x:c>
      <x:c r="J72" s="16" t="str">
        <x:v>canonical_code</x:v>
      </x:c>
      <x:c r="K72" s="16" t="str">
        <x:v>生成HW_R{转数5位补零}</x:v>
      </x:c>
      <x:c r="L72" s="16" t="str">
        <x:v>禁止为空</x:v>
      </x:c>
      <x:c r="M72" s="16" t="str">
        <x:v>全库唯一</x:v>
      </x:c>
      <x:c r="N72" s="16" t="str">
        <x:v>已存在则复用，不新建重复样本</x:v>
      </x:c>
      <x:c r="O72" s="16" t="str">
        <x:v>是</x:v>
      </x:c>
      <x:c r="P72" s="16" t="str"/>
    </x:row>
    <x:row r="73" ht="34" customHeight="1">
      <x:c r="A73" s="16" t="str">
        <x:v>M069</x:v>
      </x:c>
      <x:c r="B73" s="16" t="str">
        <x:v>data1-阔叶木-打浆转数-打浆度(1).xlsx</x:v>
      </x:c>
      <x:c r="C73" s="16" t="str">
        <x:v>原始版</x:v>
      </x:c>
      <x:c r="D73" s="16" t="str">
        <x:v>Sheet1</x:v>
      </x:c>
      <x:c r="E73" s="22" t="n">
        <x:v>0</x:v>
      </x:c>
      <x:c r="F73" s="16" t="str">
        <x:v>〈材种上下文〉</x:v>
      </x:c>
      <x:c r="G73" s="16" t="str">
        <x:v>—</x:v>
      </x:c>
      <x:c r="H73" s="16" t="str">
        <x:v>常量</x:v>
      </x:c>
      <x:c r="I73" s="16" t="str">
        <x:v>sample</x:v>
      </x:c>
      <x:c r="J73" s="16" t="str">
        <x:v>sample_type</x:v>
      </x:c>
      <x:c r="K73" s="16" t="str">
        <x:v>固定写入hardwood</x:v>
      </x:c>
      <x:c r="L73" s="16" t="str">
        <x:v>禁止为空</x:v>
      </x:c>
      <x:c r="M73" s="16" t="str">
        <x:v>枚举值合法</x:v>
      </x:c>
      <x:c r="N73" s="16" t="str">
        <x:v>不得由文件名以外信息覆盖</x:v>
      </x:c>
      <x:c r="O73" s="16" t="str">
        <x:v>是</x:v>
      </x:c>
      <x:c r="P73" s="16" t="str"/>
    </x:row>
    <x:row r="74" ht="34" customHeight="1">
      <x:c r="A74" s="16" t="str">
        <x:v>M070</x:v>
      </x:c>
      <x:c r="B74" s="16" t="str">
        <x:v>data1-阔叶木-打浆转数-打浆度(1).xlsx</x:v>
      </x:c>
      <x:c r="C74" s="16" t="str">
        <x:v>原始版</x:v>
      </x:c>
      <x:c r="D74" s="16" t="str">
        <x:v>Sheet1</x:v>
      </x:c>
      <x:c r="E74" s="22" t="n">
        <x:v>0</x:v>
      </x:c>
      <x:c r="F74" s="16" t="str">
        <x:v>〈材种+打浆转数〉</x:v>
      </x:c>
      <x:c r="G74" s="16" t="str">
        <x:v>—</x:v>
      </x:c>
      <x:c r="H74" s="16" t="str">
        <x:v>派生</x:v>
      </x:c>
      <x:c r="I74" s="16" t="str">
        <x:v>sample</x:v>
      </x:c>
      <x:c r="J74" s="16" t="str">
        <x:v>display_name</x:v>
      </x:c>
      <x:c r="K74" s="16" t="str">
        <x:v>生成阔叶木浆-{转数}r</x:v>
      </x:c>
      <x:c r="L74" s="16" t="str">
        <x:v>禁止为空</x:v>
      </x:c>
      <x:c r="M74" s="16" t="str">
        <x:v>长度不超过100字符</x:v>
      </x:c>
      <x:c r="N74" s="16" t="str">
        <x:v>同canonical_code更新显示名需人工确认</x:v>
      </x:c>
      <x:c r="O74" s="16" t="str">
        <x:v>是</x:v>
      </x:c>
      <x:c r="P74" s="16" t="str"/>
    </x:row>
    <x:row r="75" ht="34" customHeight="1">
      <x:c r="A75" s="16" t="str">
        <x:v>M071</x:v>
      </x:c>
      <x:c r="B75" s="16" t="str">
        <x:v>data1-阔叶木-打浆转数-打浆度(1).xlsx</x:v>
      </x:c>
      <x:c r="C75" s="16" t="str">
        <x:v>原始版</x:v>
      </x:c>
      <x:c r="D75" s="16" t="str">
        <x:v>Sheet1</x:v>
      </x:c>
      <x:c r="E75" s="22" t="n">
        <x:v>0</x:v>
      </x:c>
      <x:c r="F75" s="16" t="str">
        <x:v>〈实验上下文〉</x:v>
      </x:c>
      <x:c r="G75" s="16" t="str">
        <x:v>—</x:v>
      </x:c>
      <x:c r="H75" s="16" t="str">
        <x:v>常量/查找</x:v>
      </x:c>
      <x:c r="I75" s="16" t="str">
        <x:v>experiment_sample</x:v>
      </x:c>
      <x:c r="J75" s="16" t="str">
        <x:v>experiment_id</x:v>
      </x:c>
      <x:c r="K75" s="16" t="str">
        <x:v>按experiment_code=HW_BEATING查找</x:v>
      </x:c>
      <x:c r="L75" s="16" t="str">
        <x:v>禁止为空</x:v>
      </x:c>
      <x:c r="M75" s="16" t="str">
        <x:v>必须命中一个实验</x:v>
      </x:c>
      <x:c r="N75" s="16" t="str">
        <x:v>禁止自动创建未知实验</x:v>
      </x:c>
      <x:c r="O75" s="16" t="str">
        <x:v>是</x:v>
      </x:c>
      <x:c r="P75" s="16" t="str"/>
    </x:row>
    <x:row r="76" ht="34" customHeight="1">
      <x:c r="A76" s="16" t="str">
        <x:v>M072</x:v>
      </x:c>
      <x:c r="B76" s="16" t="str">
        <x:v>data1-阔叶木-打浆转数-打浆度(1).xlsx</x:v>
      </x:c>
      <x:c r="C76" s="16" t="str">
        <x:v>原始版</x:v>
      </x:c>
      <x:c r="D76" s="16" t="str">
        <x:v>Sheet1</x:v>
      </x:c>
      <x:c r="E76" s="22" t="n">
        <x:v>0</x:v>
      </x:c>
      <x:c r="F76" s="16" t="str">
        <x:v>〈标准样本代码〉</x:v>
      </x:c>
      <x:c r="G76" s="16" t="str">
        <x:v>—</x:v>
      </x:c>
      <x:c r="H76" s="16" t="str">
        <x:v>查找</x:v>
      </x:c>
      <x:c r="I76" s="16" t="str">
        <x:v>experiment_sample</x:v>
      </x:c>
      <x:c r="J76" s="16" t="str">
        <x:v>sample_id</x:v>
      </x:c>
      <x:c r="K76" s="16" t="str">
        <x:v>按canonical_code查找或创建后取得sample_id</x:v>
      </x:c>
      <x:c r="L76" s="16" t="str">
        <x:v>禁止为空</x:v>
      </x:c>
      <x:c r="M76" s="16" t="str">
        <x:v>必须命中一个样本</x:v>
      </x:c>
      <x:c r="N76" s="16" t="str">
        <x:v>失败则整批回滚</x:v>
      </x:c>
      <x:c r="O76" s="16" t="str">
        <x:v>是</x:v>
      </x:c>
      <x:c r="P76" s="16" t="str"/>
    </x:row>
    <x:row r="77" ht="34" customHeight="1">
      <x:c r="A77" s="16" t="str">
        <x:v>M073</x:v>
      </x:c>
      <x:c r="B77" s="16" t="str">
        <x:v>data1-阔叶木-打浆转数-打浆度(1).xlsx</x:v>
      </x:c>
      <x:c r="C77" s="16" t="str">
        <x:v>原始版</x:v>
      </x:c>
      <x:c r="D77" s="16" t="str">
        <x:v>Sheet1</x:v>
      </x:c>
      <x:c r="E77" s="22" t="n">
        <x:v>0</x:v>
      </x:c>
      <x:c r="F77" s="16" t="str">
        <x:v>〈当前来源行〉</x:v>
      </x:c>
      <x:c r="G77" s="16" t="str">
        <x:v>—</x:v>
      </x:c>
      <x:c r="H77" s="16" t="str">
        <x:v>关联</x:v>
      </x:c>
      <x:c r="I77" s="16" t="str">
        <x:v>experiment_sample</x:v>
      </x:c>
      <x:c r="J77" s="16" t="str">
        <x:v>source_id</x:v>
      </x:c>
      <x:c r="K77" s="16" t="str">
        <x:v>引用本行data_source.source_id</x:v>
      </x:c>
      <x:c r="L77" s="16" t="str">
        <x:v>禁止为空</x:v>
      </x:c>
      <x:c r="M77" s="16" t="str">
        <x:v>外键有效</x:v>
      </x:c>
      <x:c r="N77" s="16" t="str">
        <x:v>缺失来源不得入库</x:v>
      </x:c>
      <x:c r="O77" s="16" t="str">
        <x:v>是</x:v>
      </x:c>
      <x:c r="P77" s="16" t="str"/>
    </x:row>
    <x:row r="78" ht="34" customHeight="1">
      <x:c r="A78" s="16" t="str">
        <x:v>M074</x:v>
      </x:c>
      <x:c r="B78" s="16" t="str">
        <x:v>data1-阔叶木-打浆转数-打浆度(1).xlsx</x:v>
      </x:c>
      <x:c r="C78" s="16" t="str">
        <x:v>原始版</x:v>
      </x:c>
      <x:c r="D78" s="16" t="str">
        <x:v>Sheet1</x:v>
      </x:c>
      <x:c r="E78" s="22" t="n">
        <x:v>0</x:v>
      </x:c>
      <x:c r="F78" s="16" t="str">
        <x:v>〈标准样本代码〉</x:v>
      </x:c>
      <x:c r="G78" s="16" t="str">
        <x:v>—</x:v>
      </x:c>
      <x:c r="H78" s="16" t="str">
        <x:v>查找</x:v>
      </x:c>
      <x:c r="I78" s="16" t="str">
        <x:v>sample_component</x:v>
      </x:c>
      <x:c r="J78" s="16" t="str">
        <x:v>sample_id</x:v>
      </x:c>
      <x:c r="K78" s="16" t="str">
        <x:v>引用本行对应sample.sample_id</x:v>
      </x:c>
      <x:c r="L78" s="16" t="str">
        <x:v>禁止为空</x:v>
      </x:c>
      <x:c r="M78" s="16" t="str">
        <x:v>外键有效</x:v>
      </x:c>
      <x:c r="N78" s="16" t="str">
        <x:v>失败则整批回滚</x:v>
      </x:c>
      <x:c r="O78" s="16" t="str">
        <x:v>是</x:v>
      </x:c>
      <x:c r="P78" s="16" t="str"/>
    </x:row>
    <x:row r="79" ht="34" customHeight="1">
      <x:c r="A79" s="16" t="str">
        <x:v>M075</x:v>
      </x:c>
      <x:c r="B79" s="16" t="str">
        <x:v>data1-阔叶木-打浆转数-打浆度(1).xlsx</x:v>
      </x:c>
      <x:c r="C79" s="16" t="str">
        <x:v>原始版</x:v>
      </x:c>
      <x:c r="D79" s="16" t="str">
        <x:v>Sheet1</x:v>
      </x:c>
      <x:c r="E79" s="22" t="n">
        <x:v>0</x:v>
      </x:c>
      <x:c r="F79" s="16" t="str">
        <x:v>〈材种上下文〉</x:v>
      </x:c>
      <x:c r="G79" s="16" t="str">
        <x:v>—</x:v>
      </x:c>
      <x:c r="H79" s="16" t="str">
        <x:v>查找</x:v>
      </x:c>
      <x:c r="I79" s="16" t="str">
        <x:v>sample_component</x:v>
      </x:c>
      <x:c r="J79" s="16" t="str">
        <x:v>material_id</x:v>
      </x:c>
      <x:c r="K79" s="16" t="str">
        <x:v>按material_code=HW查找</x:v>
      </x:c>
      <x:c r="L79" s="16" t="str">
        <x:v>禁止为空</x:v>
      </x:c>
      <x:c r="M79" s="16" t="str">
        <x:v>必须命中SW或HW</x:v>
      </x:c>
      <x:c r="N79" s="16" t="str">
        <x:v>禁止自动创建未知原料</x:v>
      </x:c>
      <x:c r="O79" s="16" t="str">
        <x:v>是</x:v>
      </x:c>
      <x:c r="P79" s="16" t="str"/>
    </x:row>
    <x:row r="80" ht="34" customHeight="1">
      <x:c r="A80" s="16" t="str">
        <x:v>M076</x:v>
      </x:c>
      <x:c r="B80" s="16" t="str">
        <x:v>data1-阔叶木-打浆转数-打浆度(1).xlsx</x:v>
      </x:c>
      <x:c r="C80" s="16" t="str">
        <x:v>原始版</x:v>
      </x:c>
      <x:c r="D80" s="16" t="str">
        <x:v>Sheet1</x:v>
      </x:c>
      <x:c r="E80" s="22" t="n">
        <x:v>0</x:v>
      </x:c>
      <x:c r="F80" s="16" t="str">
        <x:v>〈纯浆常量〉</x:v>
      </x:c>
      <x:c r="G80" s="16" t="str">
        <x:v>%</x:v>
      </x:c>
      <x:c r="H80" s="16" t="str">
        <x:v>常量</x:v>
      </x:c>
      <x:c r="I80" s="16" t="str">
        <x:v>sample_component</x:v>
      </x:c>
      <x:c r="J80" s="16" t="str">
        <x:v>proportion_pct</x:v>
      </x:c>
      <x:c r="K80" s="16" t="str">
        <x:v>固定写入100</x:v>
      </x:c>
      <x:c r="L80" s="16" t="str">
        <x:v>禁止为空</x:v>
      </x:c>
      <x:c r="M80" s="16" t="str">
        <x:v>等于100</x:v>
      </x:c>
      <x:c r="N80" s="16" t="str">
        <x:v>纯浆不得写入第二组分</x:v>
      </x:c>
      <x:c r="O80" s="16" t="str">
        <x:v>是</x:v>
      </x:c>
      <x:c r="P80" s="16" t="str"/>
    </x:row>
    <x:row r="81" ht="34" customHeight="1">
      <x:c r="A81" s="16" t="str">
        <x:v>M077</x:v>
      </x:c>
      <x:c r="B81" s="16" t="str">
        <x:v>data1-阔叶木-打浆转数-打浆度(1).xlsx</x:v>
      </x:c>
      <x:c r="C81" s="16" t="str">
        <x:v>原始版</x:v>
      </x:c>
      <x:c r="D81" s="16" t="str">
        <x:v>Sheet1</x:v>
      </x:c>
      <x:c r="E81" s="22" t="n">
        <x:v>0</x:v>
      </x:c>
      <x:c r="F81" s="16" t="str">
        <x:v>〈当前来源行〉</x:v>
      </x:c>
      <x:c r="G81" s="16" t="str">
        <x:v>—</x:v>
      </x:c>
      <x:c r="H81" s="16" t="str">
        <x:v>关联</x:v>
      </x:c>
      <x:c r="I81" s="16" t="str">
        <x:v>sample_component</x:v>
      </x:c>
      <x:c r="J81" s="16" t="str">
        <x:v>source_id</x:v>
      </x:c>
      <x:c r="K81" s="16" t="str">
        <x:v>引用本行data_source.source_id</x:v>
      </x:c>
      <x:c r="L81" s="16" t="str">
        <x:v>禁止为空</x:v>
      </x:c>
      <x:c r="M81" s="16" t="str">
        <x:v>外键有效</x:v>
      </x:c>
      <x:c r="N81" s="16" t="str">
        <x:v>缺失来源不得入库</x:v>
      </x:c>
      <x:c r="O81" s="16" t="str">
        <x:v>是</x:v>
      </x:c>
      <x:c r="P81" s="16" t="str"/>
    </x:row>
    <x:row r="82" ht="34" customHeight="1">
      <x:c r="A82" s="16" t="str">
        <x:v>M078</x:v>
      </x:c>
      <x:c r="B82" s="16" t="str">
        <x:v>data2-阔叶木-打浆转数-纤维特性(1).xlsx</x:v>
      </x:c>
      <x:c r="C82" s="16" t="str">
        <x:v>原始版</x:v>
      </x:c>
      <x:c r="D82" s="16" t="str">
        <x:v>Sheet1</x:v>
      </x:c>
      <x:c r="E82" s="22" t="n">
        <x:v>0</x:v>
      </x:c>
      <x:c r="F82" s="16" t="str">
        <x:v>〈文件名〉</x:v>
      </x:c>
      <x:c r="G82" s="16" t="str">
        <x:v>—</x:v>
      </x:c>
      <x:c r="H82" s="16" t="str">
        <x:v>来源元数据</x:v>
      </x:c>
      <x:c r="I82" s="16" t="str">
        <x:v>data_source</x:v>
      </x:c>
      <x:c r="J82" s="16" t="str">
        <x:v>file_name</x:v>
      </x:c>
      <x:c r="K82" s="16" t="str">
        <x:v>写入当前原始文件名</x:v>
      </x:c>
      <x:c r="L82" s="16" t="str">
        <x:v>禁止为空</x:v>
      </x:c>
      <x:c r="M82" s="16" t="str">
        <x:v>必须在正式来源白名单中</x:v>
      </x:c>
      <x:c r="N82" s="16" t="str">
        <x:v>旧复配版或汇总文件立即终止该批</x:v>
      </x:c>
      <x:c r="O82" s="16" t="str">
        <x:v>是</x:v>
      </x:c>
      <x:c r="P82" s="16" t="str"/>
    </x:row>
    <x:row r="83" ht="34" customHeight="1">
      <x:c r="A83" s="16" t="str">
        <x:v>M079</x:v>
      </x:c>
      <x:c r="B83" s="16" t="str">
        <x:v>data2-阔叶木-打浆转数-纤维特性(1).xlsx</x:v>
      </x:c>
      <x:c r="C83" s="16" t="str">
        <x:v>原始版</x:v>
      </x:c>
      <x:c r="D83" s="16" t="str">
        <x:v>Sheet1</x:v>
      </x:c>
      <x:c r="E83" s="22" t="n">
        <x:v>0</x:v>
      </x:c>
      <x:c r="F83" s="16" t="str">
        <x:v>〈工作表名〉</x:v>
      </x:c>
      <x:c r="G83" s="16" t="str">
        <x:v>—</x:v>
      </x:c>
      <x:c r="H83" s="16" t="str">
        <x:v>来源元数据</x:v>
      </x:c>
      <x:c r="I83" s="16" t="str">
        <x:v>data_source</x:v>
      </x:c>
      <x:c r="J83" s="16" t="str">
        <x:v>sheet_name</x:v>
      </x:c>
      <x:c r="K83" s="16" t="str">
        <x:v>固定写入Sheet1</x:v>
      </x:c>
      <x:c r="L83" s="16" t="str">
        <x:v>禁止为空</x:v>
      </x:c>
      <x:c r="M83" s="16" t="str">
        <x:v>仅允许有效工作表Sheet1</x:v>
      </x:c>
      <x:c r="N83" s="16" t="str">
        <x:v>空白Sheet2/Sheet3不处理</x:v>
      </x:c>
      <x:c r="O83" s="16" t="str">
        <x:v>是</x:v>
      </x:c>
      <x:c r="P83" s="16" t="str"/>
    </x:row>
    <x:row r="84" ht="34" customHeight="1">
      <x:c r="A84" s="16" t="str">
        <x:v>M080</x:v>
      </x:c>
      <x:c r="B84" s="16" t="str">
        <x:v>data2-阔叶木-打浆转数-纤维特性(1).xlsx</x:v>
      </x:c>
      <x:c r="C84" s="16" t="str">
        <x:v>原始版</x:v>
      </x:c>
      <x:c r="D84" s="16" t="str">
        <x:v>Sheet1</x:v>
      </x:c>
      <x:c r="E84" s="22" t="n">
        <x:v>0</x:v>
      </x:c>
      <x:c r="F84" s="16" t="str">
        <x:v>〈Excel行号〉</x:v>
      </x:c>
      <x:c r="G84" s="16" t="str">
        <x:v>行</x:v>
      </x:c>
      <x:c r="H84" s="16" t="str">
        <x:v>系统生成</x:v>
      </x:c>
      <x:c r="I84" s="16" t="str">
        <x:v>data_source</x:v>
      </x:c>
      <x:c r="J84" s="16" t="str">
        <x:v>source_row</x:v>
      </x:c>
      <x:c r="K84" s="16" t="str">
        <x:v>写入原始数据所在Excel实际行号</x:v>
      </x:c>
      <x:c r="L84" s="16" t="str">
        <x:v>禁止为空</x:v>
      </x:c>
      <x:c r="M84" s="16" t="str">
        <x:v>&gt;=2且为整数</x:v>
      </x:c>
      <x:c r="N84" s="16" t="str">
        <x:v>同文件、工作表、行号不得重复</x:v>
      </x:c>
      <x:c r="O84" s="16" t="str">
        <x:v>是</x:v>
      </x:c>
      <x:c r="P84" s="16" t="str"/>
    </x:row>
    <x:row r="85" ht="34" customHeight="1">
      <x:c r="A85" s="16" t="str">
        <x:v>M081</x:v>
      </x:c>
      <x:c r="B85" s="16" t="str">
        <x:v>data2-阔叶木-打浆转数-纤维特性(1).xlsx</x:v>
      </x:c>
      <x:c r="C85" s="16" t="str">
        <x:v>原始版</x:v>
      </x:c>
      <x:c r="D85" s="16" t="str">
        <x:v>Sheet1</x:v>
      </x:c>
      <x:c r="E85" s="22" t="n">
        <x:v>0</x:v>
      </x:c>
      <x:c r="F85" s="16" t="str">
        <x:v>〈来源版本〉</x:v>
      </x:c>
      <x:c r="G85" s="16" t="str">
        <x:v>—</x:v>
      </x:c>
      <x:c r="H85" s="16" t="str">
        <x:v>文件上下文</x:v>
      </x:c>
      <x:c r="I85" s="16" t="str">
        <x:v>data_source</x:v>
      </x:c>
      <x:c r="J85" s="16" t="str">
        <x:v>source_version</x:v>
      </x:c>
      <x:c r="K85" s="16" t="str">
        <x:v>固定写入原始版</x:v>
      </x:c>
      <x:c r="L85" s="16" t="str">
        <x:v>禁止为空</x:v>
      </x:c>
      <x:c r="M85" s="16" t="str">
        <x:v>复配文件必须为0110</x:v>
      </x:c>
      <x:c r="N85" s="16" t="str">
        <x:v>旧版不得覆盖0110</x:v>
      </x:c>
      <x:c r="O85" s="16" t="str">
        <x:v>是</x:v>
      </x:c>
      <x:c r="P85" s="16" t="str"/>
    </x:row>
    <x:row r="86" ht="34" customHeight="1">
      <x:c r="A86" s="16" t="str">
        <x:v>M082</x:v>
      </x:c>
      <x:c r="B86" s="16" t="str">
        <x:v>data2-阔叶木-打浆转数-纤维特性(1).xlsx</x:v>
      </x:c>
      <x:c r="C86" s="16" t="str">
        <x:v>原始版</x:v>
      </x:c>
      <x:c r="D86" s="16" t="str">
        <x:v>Sheet1</x:v>
      </x:c>
      <x:c r="E86" s="22" t="n">
        <x:v>0</x:v>
      </x:c>
      <x:c r="F86" s="16" t="str">
        <x:v>〈导入时间〉</x:v>
      </x:c>
      <x:c r="G86" s="16" t="str">
        <x:v>—</x:v>
      </x:c>
      <x:c r="H86" s="16" t="str">
        <x:v>系统生成</x:v>
      </x:c>
      <x:c r="I86" s="16" t="str">
        <x:v>data_source</x:v>
      </x:c>
      <x:c r="J86" s="16" t="str">
        <x:v>imported_at</x:v>
      </x:c>
      <x:c r="K86" s="16" t="str">
        <x:v>由PostgreSQL CURRENT_TIMESTAMP生成</x:v>
      </x:c>
      <x:c r="L86" s="16" t="str">
        <x:v>禁止为空</x:v>
      </x:c>
      <x:c r="M86" s="16" t="str">
        <x:v>TIMESTAMPTZ有效值</x:v>
      </x:c>
      <x:c r="N86" s="16" t="str">
        <x:v>不从Excel读取</x:v>
      </x:c>
      <x:c r="O86" s="16" t="str">
        <x:v>是</x:v>
      </x:c>
      <x:c r="P86" s="16" t="str"/>
    </x:row>
    <x:row r="87" ht="34" customHeight="1">
      <x:c r="A87" s="16" t="str">
        <x:v>M083</x:v>
      </x:c>
      <x:c r="B87" s="16" t="str">
        <x:v>data2-阔叶木-打浆转数-纤维特性(1).xlsx</x:v>
      </x:c>
      <x:c r="C87" s="16" t="str">
        <x:v>原始版</x:v>
      </x:c>
      <x:c r="D87" s="16" t="str">
        <x:v>Sheet1</x:v>
      </x:c>
      <x:c r="E87" s="22" t="n">
        <x:v>1</x:v>
      </x:c>
      <x:c r="F87" s="16" t="str">
        <x:v>序号</x:v>
      </x:c>
      <x:c r="G87" s="16" t="str">
        <x:v>—</x:v>
      </x:c>
      <x:c r="H87" s="16" t="str">
        <x:v>校验键</x:v>
      </x:c>
      <x:c r="I87" s="16" t="str">
        <x:v>experiment_sample</x:v>
      </x:c>
      <x:c r="J87" s="16" t="str">
        <x:v>display_order</x:v>
      </x:c>
      <x:c r="K87" s="16" t="str">
        <x:v>仅用于核对行顺序，不覆盖打浆度文件</x:v>
      </x:c>
      <x:c r="L87" s="16" t="str">
        <x:v>禁止为空</x:v>
      </x:c>
      <x:c r="M87" s="16" t="str">
        <x:v>正整数</x:v>
      </x:c>
      <x:c r="N87" s="16" t="str">
        <x:v>不一致时终止该批</x:v>
      </x:c>
      <x:c r="O87" s="16" t="str">
        <x:v>是</x:v>
      </x:c>
      <x:c r="P87" s="16" t="str"/>
    </x:row>
    <x:row r="88" ht="34" customHeight="1">
      <x:c r="A88" s="16" t="str">
        <x:v>M084</x:v>
      </x:c>
      <x:c r="B88" s="16" t="str">
        <x:v>data2-阔叶木-打浆转数-纤维特性(1).xlsx</x:v>
      </x:c>
      <x:c r="C88" s="16" t="str">
        <x:v>原始版</x:v>
      </x:c>
      <x:c r="D88" s="16" t="str">
        <x:v>Sheet1</x:v>
      </x:c>
      <x:c r="E88" s="22" t="n">
        <x:v>2</x:v>
      </x:c>
      <x:c r="F88" s="16" t="str">
        <x:v>打浆转数/r</x:v>
      </x:c>
      <x:c r="G88" s="16" t="str">
        <x:v>r</x:v>
      </x:c>
      <x:c r="H88" s="16" t="str">
        <x:v>关联键</x:v>
      </x:c>
      <x:c r="I88" s="16" t="str">
        <x:v>fiber_measurement</x:v>
      </x:c>
      <x:c r="J88" s="16" t="str">
        <x:v>sample_id</x:v>
      </x:c>
      <x:c r="K88" s="16" t="str">
        <x:v>按HW+打浆转数定位canonical_code并查找sample_id</x:v>
      </x:c>
      <x:c r="L88" s="16" t="str">
        <x:v>禁止为空</x:v>
      </x:c>
      <x:c r="M88" s="16" t="str">
        <x:v>必须唯一命中样本</x:v>
      </x:c>
      <x:c r="N88" s="16" t="str">
        <x:v>不得新建仅存在于测量文件的样本</x:v>
      </x:c>
      <x:c r="O88" s="16" t="str">
        <x:v>是</x:v>
      </x:c>
      <x:c r="P88" s="16" t="str"/>
    </x:row>
    <x:row r="89" ht="34" customHeight="1">
      <x:c r="A89" s="16" t="str">
        <x:v>M085</x:v>
      </x:c>
      <x:c r="B89" s="16" t="str">
        <x:v>data2-阔叶木-打浆转数-纤维特性(1).xlsx</x:v>
      </x:c>
      <x:c r="C89" s="16" t="str">
        <x:v>原始版</x:v>
      </x:c>
      <x:c r="D89" s="16" t="str">
        <x:v>Sheet1</x:v>
      </x:c>
      <x:c r="E89" s="22" t="n">
        <x:v>3</x:v>
      </x:c>
      <x:c r="F89" s="16" t="str">
        <x:v>纤维长度/mm（算数平均）</x:v>
      </x:c>
      <x:c r="G89" s="16" t="str">
        <x:v>mm</x:v>
      </x:c>
      <x:c r="H89" s="16" t="str">
        <x:v>直接</x:v>
      </x:c>
      <x:c r="I89" s="16" t="str">
        <x:v>fiber_measurement</x:v>
      </x:c>
      <x:c r="J89" s="16" t="str">
        <x:v>fiber_length_arithmetic_mm</x:v>
      </x:c>
      <x:c r="K89" s="16" t="str">
        <x:v>保留原始数值精度并转换为NUMERIC</x:v>
      </x:c>
      <x:c r="L89" s="16" t="str">
        <x:v>空白、—或/转为NULL并记录质量告警</x:v>
      </x:c>
      <x:c r="M89" s="16" t="str">
        <x:v>数值且非负</x:v>
      </x:c>
      <x:c r="N89" s="16" t="str">
        <x:v>同sample_id已有记录时不得覆盖</x:v>
      </x:c>
      <x:c r="O89" s="16" t="str">
        <x:v>是</x:v>
      </x:c>
      <x:c r="P89" s="16" t="str"/>
    </x:row>
    <x:row r="90" ht="34" customHeight="1">
      <x:c r="A90" s="16" t="str">
        <x:v>M086</x:v>
      </x:c>
      <x:c r="B90" s="16" t="str">
        <x:v>data2-阔叶木-打浆转数-纤维特性(1).xlsx</x:v>
      </x:c>
      <x:c r="C90" s="16" t="str">
        <x:v>原始版</x:v>
      </x:c>
      <x:c r="D90" s="16" t="str">
        <x:v>Sheet1</x:v>
      </x:c>
      <x:c r="E90" s="22" t="n">
        <x:v>4</x:v>
      </x:c>
      <x:c r="F90" s="16" t="str">
        <x:v>纤维长度/mm（长度加权长）</x:v>
      </x:c>
      <x:c r="G90" s="16" t="str">
        <x:v>mm</x:v>
      </x:c>
      <x:c r="H90" s="16" t="str">
        <x:v>直接</x:v>
      </x:c>
      <x:c r="I90" s="16" t="str">
        <x:v>fiber_measurement</x:v>
      </x:c>
      <x:c r="J90" s="16" t="str">
        <x:v>fiber_length_weighted_mm</x:v>
      </x:c>
      <x:c r="K90" s="16" t="str">
        <x:v>保留原始数值精度并转换为NUMERIC</x:v>
      </x:c>
      <x:c r="L90" s="16" t="str">
        <x:v>空白、—或/转为NULL并记录质量告警</x:v>
      </x:c>
      <x:c r="M90" s="16" t="str">
        <x:v>数值且非负</x:v>
      </x:c>
      <x:c r="N90" s="16" t="str">
        <x:v>同sample_id已有记录时不得覆盖</x:v>
      </x:c>
      <x:c r="O90" s="16" t="str">
        <x:v>是</x:v>
      </x:c>
      <x:c r="P90" s="16" t="str"/>
    </x:row>
    <x:row r="91" ht="34" customHeight="1">
      <x:c r="A91" s="16" t="str">
        <x:v>M087</x:v>
      </x:c>
      <x:c r="B91" s="16" t="str">
        <x:v>data2-阔叶木-打浆转数-纤维特性(1).xlsx</x:v>
      </x:c>
      <x:c r="C91" s="16" t="str">
        <x:v>原始版</x:v>
      </x:c>
      <x:c r="D91" s="16" t="str">
        <x:v>Sheet1</x:v>
      </x:c>
      <x:c r="E91" s="22" t="n">
        <x:v>5</x:v>
      </x:c>
      <x:c r="F91" s="16" t="str">
        <x:v>宽度/μm</x:v>
      </x:c>
      <x:c r="G91" s="16" t="str">
        <x:v>μm</x:v>
      </x:c>
      <x:c r="H91" s="16" t="str">
        <x:v>直接</x:v>
      </x:c>
      <x:c r="I91" s="16" t="str">
        <x:v>fiber_measurement</x:v>
      </x:c>
      <x:c r="J91" s="16" t="str">
        <x:v>fiber_width_um</x:v>
      </x:c>
      <x:c r="K91" s="16" t="str">
        <x:v>保留原始数值精度并转换为NUMERIC</x:v>
      </x:c>
      <x:c r="L91" s="16" t="str">
        <x:v>空白、—或/转为NULL并记录质量告警</x:v>
      </x:c>
      <x:c r="M91" s="16" t="str">
        <x:v>数值且非负</x:v>
      </x:c>
      <x:c r="N91" s="16" t="str">
        <x:v>同sample_id已有记录时不得覆盖</x:v>
      </x:c>
      <x:c r="O91" s="16" t="str">
        <x:v>是</x:v>
      </x:c>
      <x:c r="P91" s="16" t="str"/>
    </x:row>
    <x:row r="92" ht="34" customHeight="1">
      <x:c r="A92" s="16" t="str">
        <x:v>M088</x:v>
      </x:c>
      <x:c r="B92" s="16" t="str">
        <x:v>data2-阔叶木-打浆转数-纤维特性(1).xlsx</x:v>
      </x:c>
      <x:c r="C92" s="16" t="str">
        <x:v>原始版</x:v>
      </x:c>
      <x:c r="D92" s="16" t="str">
        <x:v>Sheet1</x:v>
      </x:c>
      <x:c r="E92" s="22" t="n">
        <x:v>6</x:v>
      </x:c>
      <x:c r="F92" s="16" t="str">
        <x:v>粗度（mg/m）</x:v>
      </x:c>
      <x:c r="G92" s="16" t="str">
        <x:v>mg/m</x:v>
      </x:c>
      <x:c r="H92" s="16" t="str">
        <x:v>直接</x:v>
      </x:c>
      <x:c r="I92" s="16" t="str">
        <x:v>fiber_measurement</x:v>
      </x:c>
      <x:c r="J92" s="16" t="str">
        <x:v>fiber_coarseness_mg_m</x:v>
      </x:c>
      <x:c r="K92" s="16" t="str">
        <x:v>保留原始数值精度并转换为NUMERIC</x:v>
      </x:c>
      <x:c r="L92" s="16" t="str">
        <x:v>空白、—或/转为NULL并记录质量告警</x:v>
      </x:c>
      <x:c r="M92" s="16" t="str">
        <x:v>数值且非负</x:v>
      </x:c>
      <x:c r="N92" s="16" t="str">
        <x:v>同sample_id已有记录时不得覆盖</x:v>
      </x:c>
      <x:c r="O92" s="16" t="str">
        <x:v>是</x:v>
      </x:c>
      <x:c r="P92" s="16" t="str"/>
    </x:row>
    <x:row r="93" ht="34" customHeight="1">
      <x:c r="A93" s="16" t="str">
        <x:v>M089</x:v>
      </x:c>
      <x:c r="B93" s="16" t="str">
        <x:v>data2-阔叶木-打浆转数-纤维特性(1).xlsx</x:v>
      </x:c>
      <x:c r="C93" s="16" t="str">
        <x:v>原始版</x:v>
      </x:c>
      <x:c r="D93" s="16" t="str">
        <x:v>Sheet1</x:v>
      </x:c>
      <x:c r="E93" s="22" t="n">
        <x:v>7</x:v>
      </x:c>
      <x:c r="F93" s="16" t="str">
        <x:v>扭结角（°）</x:v>
      </x:c>
      <x:c r="G93" s="16" t="str">
        <x:v>°</x:v>
      </x:c>
      <x:c r="H93" s="16" t="str">
        <x:v>直接</x:v>
      </x:c>
      <x:c r="I93" s="16" t="str">
        <x:v>fiber_measurement</x:v>
      </x:c>
      <x:c r="J93" s="16" t="str">
        <x:v>kink_angle_deg</x:v>
      </x:c>
      <x:c r="K93" s="16" t="str">
        <x:v>保留原始数值精度并转换为NUMERIC</x:v>
      </x:c>
      <x:c r="L93" s="16" t="str">
        <x:v>空白、—或/转为NULL并记录质量告警</x:v>
      </x:c>
      <x:c r="M93" s="16" t="str">
        <x:v>数值且非负</x:v>
      </x:c>
      <x:c r="N93" s="16" t="str">
        <x:v>同sample_id已有记录时不得覆盖</x:v>
      </x:c>
      <x:c r="O93" s="16" t="str">
        <x:v>是</x:v>
      </x:c>
      <x:c r="P93" s="16" t="str"/>
    </x:row>
    <x:row r="94" ht="34" customHeight="1">
      <x:c r="A94" s="16" t="str">
        <x:v>M090</x:v>
      </x:c>
      <x:c r="B94" s="16" t="str">
        <x:v>data2-阔叶木-打浆转数-纤维特性(1).xlsx</x:v>
      </x:c>
      <x:c r="C94" s="16" t="str">
        <x:v>原始版</x:v>
      </x:c>
      <x:c r="D94" s="16" t="str">
        <x:v>Sheet1</x:v>
      </x:c>
      <x:c r="E94" s="22" t="n">
        <x:v>8</x:v>
      </x:c>
      <x:c r="F94" s="16" t="str">
        <x:v>扭结纤维（%）</x:v>
      </x:c>
      <x:c r="G94" s="16" t="str">
        <x:v>%</x:v>
      </x:c>
      <x:c r="H94" s="16" t="str">
        <x:v>直接</x:v>
      </x:c>
      <x:c r="I94" s="16" t="str">
        <x:v>fiber_measurement</x:v>
      </x:c>
      <x:c r="J94" s="16" t="str">
        <x:v>kinked_fiber_pct</x:v>
      </x:c>
      <x:c r="K94" s="16" t="str">
        <x:v>保留原始数值精度并转换为NUMERIC</x:v>
      </x:c>
      <x:c r="L94" s="16" t="str">
        <x:v>空白、—或/转为NULL并记录质量告警</x:v>
      </x:c>
      <x:c r="M94" s="16" t="str">
        <x:v>数值且非负</x:v>
      </x:c>
      <x:c r="N94" s="16" t="str">
        <x:v>同sample_id已有记录时不得覆盖</x:v>
      </x:c>
      <x:c r="O94" s="16" t="str">
        <x:v>是</x:v>
      </x:c>
      <x:c r="P94" s="16" t="str"/>
    </x:row>
    <x:row r="95" ht="34" customHeight="1">
      <x:c r="A95" s="16" t="str">
        <x:v>M091</x:v>
      </x:c>
      <x:c r="B95" s="16" t="str">
        <x:v>data2-阔叶木-打浆转数-纤维特性(1).xlsx</x:v>
      </x:c>
      <x:c r="C95" s="16" t="str">
        <x:v>原始版</x:v>
      </x:c>
      <x:c r="D95" s="16" t="str">
        <x:v>Sheet1</x:v>
      </x:c>
      <x:c r="E95" s="22" t="n">
        <x:v>9</x:v>
      </x:c>
      <x:c r="F95" s="16" t="str">
        <x:v>弯曲（%）</x:v>
      </x:c>
      <x:c r="G95" s="16" t="str">
        <x:v>%</x:v>
      </x:c>
      <x:c r="H95" s="16" t="str">
        <x:v>直接</x:v>
      </x:c>
      <x:c r="I95" s="16" t="str">
        <x:v>fiber_measurement</x:v>
      </x:c>
      <x:c r="J95" s="16" t="str">
        <x:v>curved_fiber_pct</x:v>
      </x:c>
      <x:c r="K95" s="16" t="str">
        <x:v>保留原始数值精度并转换为NUMERIC</x:v>
      </x:c>
      <x:c r="L95" s="16" t="str">
        <x:v>空白、—或/转为NULL并记录质量告警</x:v>
      </x:c>
      <x:c r="M95" s="16" t="str">
        <x:v>数值且非负</x:v>
      </x:c>
      <x:c r="N95" s="16" t="str">
        <x:v>同sample_id已有记录时不得覆盖</x:v>
      </x:c>
      <x:c r="O95" s="16" t="str">
        <x:v>是</x:v>
      </x:c>
      <x:c r="P95" s="16" t="str"/>
    </x:row>
    <x:row r="96" ht="34" customHeight="1">
      <x:c r="A96" s="16" t="str">
        <x:v>M092</x:v>
      </x:c>
      <x:c r="B96" s="16" t="str">
        <x:v>data2-阔叶木-打浆转数-纤维特性(1).xlsx</x:v>
      </x:c>
      <x:c r="C96" s="16" t="str">
        <x:v>原始版</x:v>
      </x:c>
      <x:c r="D96" s="16" t="str">
        <x:v>Sheet1</x:v>
      </x:c>
      <x:c r="E96" s="22" t="n">
        <x:v>10</x:v>
      </x:c>
      <x:c r="F96" s="16" t="str">
        <x:v>分丝帚化长度比（%）</x:v>
      </x:c>
      <x:c r="G96" s="16" t="str">
        <x:v>%</x:v>
      </x:c>
      <x:c r="H96" s="16" t="str">
        <x:v>直接</x:v>
      </x:c>
      <x:c r="I96" s="16" t="str">
        <x:v>fiber_measurement</x:v>
      </x:c>
      <x:c r="J96" s="16" t="str">
        <x:v>fibrillation_length_pct</x:v>
      </x:c>
      <x:c r="K96" s="16" t="str">
        <x:v>保留原始数值精度并转换为NUMERIC</x:v>
      </x:c>
      <x:c r="L96" s="16" t="str">
        <x:v>空白、—或/转为NULL并记录质量告警</x:v>
      </x:c>
      <x:c r="M96" s="16" t="str">
        <x:v>数值且非负</x:v>
      </x:c>
      <x:c r="N96" s="16" t="str">
        <x:v>同sample_id已有记录时不得覆盖</x:v>
      </x:c>
      <x:c r="O96" s="16" t="str">
        <x:v>是</x:v>
      </x:c>
      <x:c r="P96" s="16" t="str"/>
    </x:row>
    <x:row r="97" ht="34" customHeight="1">
      <x:c r="A97" s="16" t="str">
        <x:v>M093</x:v>
      </x:c>
      <x:c r="B97" s="16" t="str">
        <x:v>data2-阔叶木-打浆转数-纤维特性(1).xlsx</x:v>
      </x:c>
      <x:c r="C97" s="16" t="str">
        <x:v>原始版</x:v>
      </x:c>
      <x:c r="D97" s="16" t="str">
        <x:v>Sheet1</x:v>
      </x:c>
      <x:c r="E97" s="22" t="n">
        <x:v>11</x:v>
      </x:c>
      <x:c r="F97" s="16" t="str">
        <x:v>折断纤维比（%）</x:v>
      </x:c>
      <x:c r="G97" s="16" t="str">
        <x:v>%</x:v>
      </x:c>
      <x:c r="H97" s="16" t="str">
        <x:v>直接</x:v>
      </x:c>
      <x:c r="I97" s="16" t="str">
        <x:v>fiber_measurement</x:v>
      </x:c>
      <x:c r="J97" s="16" t="str">
        <x:v>broken_fiber_pct</x:v>
      </x:c>
      <x:c r="K97" s="16" t="str">
        <x:v>保留原始数值精度并转换为NUMERIC</x:v>
      </x:c>
      <x:c r="L97" s="16" t="str">
        <x:v>空白、—或/转为NULL并记录质量告警</x:v>
      </x:c>
      <x:c r="M97" s="16" t="str">
        <x:v>数值且非负</x:v>
      </x:c>
      <x:c r="N97" s="16" t="str">
        <x:v>同sample_id已有记录时不得覆盖</x:v>
      </x:c>
      <x:c r="O97" s="16" t="str">
        <x:v>是</x:v>
      </x:c>
      <x:c r="P97" s="16" t="str"/>
    </x:row>
    <x:row r="98" ht="34" customHeight="1">
      <x:c r="A98" s="16" t="str">
        <x:v>M094</x:v>
      </x:c>
      <x:c r="B98" s="16" t="str">
        <x:v>data2-阔叶木-打浆转数-纤维特性(1).xlsx</x:v>
      </x:c>
      <x:c r="C98" s="16" t="str">
        <x:v>原始版</x:v>
      </x:c>
      <x:c r="D98" s="16" t="str">
        <x:v>Sheet1</x:v>
      </x:c>
      <x:c r="E98" s="22" t="n">
        <x:v>12</x:v>
      </x:c>
      <x:c r="F98" s="16" t="str">
        <x:v>细小纤维（长度比%）</x:v>
      </x:c>
      <x:c r="G98" s="16" t="str">
        <x:v>%</x:v>
      </x:c>
      <x:c r="H98" s="16" t="str">
        <x:v>直接</x:v>
      </x:c>
      <x:c r="I98" s="16" t="str">
        <x:v>fiber_measurement</x:v>
      </x:c>
      <x:c r="J98" s="16" t="str">
        <x:v>fines_length_pct</x:v>
      </x:c>
      <x:c r="K98" s="16" t="str">
        <x:v>保留原始数值精度并转换为NUMERIC</x:v>
      </x:c>
      <x:c r="L98" s="16" t="str">
        <x:v>空白、—或/转为NULL并记录质量告警</x:v>
      </x:c>
      <x:c r="M98" s="16" t="str">
        <x:v>数值且非负</x:v>
      </x:c>
      <x:c r="N98" s="16" t="str">
        <x:v>同sample_id已有记录时不得覆盖</x:v>
      </x:c>
      <x:c r="O98" s="16" t="str">
        <x:v>是</x:v>
      </x:c>
      <x:c r="P98" s="16" t="str"/>
    </x:row>
    <x:row r="99" ht="34" customHeight="1">
      <x:c r="A99" s="16" t="str">
        <x:v>M095</x:v>
      </x:c>
      <x:c r="B99" s="16" t="str">
        <x:v>data2-阔叶木-打浆转数-纤维特性(1).xlsx</x:v>
      </x:c>
      <x:c r="C99" s="16" t="str">
        <x:v>原始版</x:v>
      </x:c>
      <x:c r="D99" s="16" t="str">
        <x:v>Sheet1</x:v>
      </x:c>
      <x:c r="E99" s="22" t="n">
        <x:v>13</x:v>
      </x:c>
      <x:c r="F99" s="16" t="str">
        <x:v>细小纤维（长度加权比%）</x:v>
      </x:c>
      <x:c r="G99" s="16" t="str">
        <x:v>%</x:v>
      </x:c>
      <x:c r="H99" s="16" t="str">
        <x:v>直接</x:v>
      </x:c>
      <x:c r="I99" s="16" t="str">
        <x:v>fiber_measurement</x:v>
      </x:c>
      <x:c r="J99" s="16" t="str">
        <x:v>fines_weighted_length_pct</x:v>
      </x:c>
      <x:c r="K99" s="16" t="str">
        <x:v>保留原始数值精度并转换为NUMERIC</x:v>
      </x:c>
      <x:c r="L99" s="16" t="str">
        <x:v>空白、—或/转为NULL并记录质量告警</x:v>
      </x:c>
      <x:c r="M99" s="16" t="str">
        <x:v>数值且非负</x:v>
      </x:c>
      <x:c r="N99" s="16" t="str">
        <x:v>同sample_id已有记录时不得覆盖</x:v>
      </x:c>
      <x:c r="O99" s="16" t="str">
        <x:v>是</x:v>
      </x:c>
      <x:c r="P99" s="16" t="str"/>
    </x:row>
    <x:row r="100" ht="34" customHeight="1">
      <x:c r="A100" s="16" t="str">
        <x:v>M096</x:v>
      </x:c>
      <x:c r="B100" s="16" t="str">
        <x:v>data2-阔叶木-打浆转数-纤维特性(1).xlsx</x:v>
      </x:c>
      <x:c r="C100" s="16" t="str">
        <x:v>原始版</x:v>
      </x:c>
      <x:c r="D100" s="16" t="str">
        <x:v>Sheet1</x:v>
      </x:c>
      <x:c r="E100" s="22" t="n">
        <x:v>14</x:v>
      </x:c>
      <x:c r="F100" s="16" t="str">
        <x:v>细小纤维面积比（%）</x:v>
      </x:c>
      <x:c r="G100" s="16" t="str">
        <x:v>%</x:v>
      </x:c>
      <x:c r="H100" s="16" t="str">
        <x:v>直接</x:v>
      </x:c>
      <x:c r="I100" s="16" t="str">
        <x:v>fiber_measurement</x:v>
      </x:c>
      <x:c r="J100" s="16" t="str">
        <x:v>fines_area_pct</x:v>
      </x:c>
      <x:c r="K100" s="16" t="str">
        <x:v>保留原始数值精度并转换为NUMERIC</x:v>
      </x:c>
      <x:c r="L100" s="16" t="str">
        <x:v>空白、—或/转为NULL并记录质量告警</x:v>
      </x:c>
      <x:c r="M100" s="16" t="str">
        <x:v>数值且非负</x:v>
      </x:c>
      <x:c r="N100" s="16" t="str">
        <x:v>同sample_id已有记录时不得覆盖</x:v>
      </x:c>
      <x:c r="O100" s="16" t="str">
        <x:v>是</x:v>
      </x:c>
      <x:c r="P100" s="16" t="str"/>
    </x:row>
    <x:row r="101" ht="34" customHeight="1">
      <x:c r="A101" s="16" t="str">
        <x:v>M097</x:v>
      </x:c>
      <x:c r="B101" s="16" t="str">
        <x:v>data2-阔叶木-打浆转数-纤维特性(1).xlsx</x:v>
      </x:c>
      <x:c r="C101" s="16" t="str">
        <x:v>原始版</x:v>
      </x:c>
      <x:c r="D101" s="16" t="str">
        <x:v>Sheet1</x:v>
      </x:c>
      <x:c r="E101" s="22" t="n">
        <x:v>0</x:v>
      </x:c>
      <x:c r="F101" s="16" t="str">
        <x:v>〈当前来源行〉</x:v>
      </x:c>
      <x:c r="G101" s="16" t="str">
        <x:v>—</x:v>
      </x:c>
      <x:c r="H101" s="16" t="str">
        <x:v>关联</x:v>
      </x:c>
      <x:c r="I101" s="16" t="str">
        <x:v>fiber_measurement</x:v>
      </x:c>
      <x:c r="J101" s="16" t="str">
        <x:v>source_id</x:v>
      </x:c>
      <x:c r="K101" s="16" t="str">
        <x:v>引用本行data_source.source_id</x:v>
      </x:c>
      <x:c r="L101" s="16" t="str">
        <x:v>禁止为空</x:v>
      </x:c>
      <x:c r="M101" s="16" t="str">
        <x:v>外键有效</x:v>
      </x:c>
      <x:c r="N101" s="16" t="str">
        <x:v>缺失来源不得入库</x:v>
      </x:c>
      <x:c r="O101" s="16" t="str">
        <x:v>是</x:v>
      </x:c>
      <x:c r="P101" s="16" t="str"/>
    </x:row>
    <x:row r="102" ht="34" customHeight="1">
      <x:c r="A102" s="16" t="str">
        <x:v>M098</x:v>
      </x:c>
      <x:c r="B102" s="16" t="str">
        <x:v>data3-阔叶木-打浆转数-纸张性能(1).xlsx</x:v>
      </x:c>
      <x:c r="C102" s="16" t="str">
        <x:v>原始版</x:v>
      </x:c>
      <x:c r="D102" s="16" t="str">
        <x:v>Sheet1</x:v>
      </x:c>
      <x:c r="E102" s="22" t="n">
        <x:v>0</x:v>
      </x:c>
      <x:c r="F102" s="16" t="str">
        <x:v>〈文件名〉</x:v>
      </x:c>
      <x:c r="G102" s="16" t="str">
        <x:v>—</x:v>
      </x:c>
      <x:c r="H102" s="16" t="str">
        <x:v>来源元数据</x:v>
      </x:c>
      <x:c r="I102" s="16" t="str">
        <x:v>data_source</x:v>
      </x:c>
      <x:c r="J102" s="16" t="str">
        <x:v>file_name</x:v>
      </x:c>
      <x:c r="K102" s="16" t="str">
        <x:v>写入当前原始文件名</x:v>
      </x:c>
      <x:c r="L102" s="16" t="str">
        <x:v>禁止为空</x:v>
      </x:c>
      <x:c r="M102" s="16" t="str">
        <x:v>必须在正式来源白名单中</x:v>
      </x:c>
      <x:c r="N102" s="16" t="str">
        <x:v>旧复配版或汇总文件立即终止该批</x:v>
      </x:c>
      <x:c r="O102" s="16" t="str">
        <x:v>是</x:v>
      </x:c>
      <x:c r="P102" s="16" t="str"/>
    </x:row>
    <x:row r="103" ht="34" customHeight="1">
      <x:c r="A103" s="16" t="str">
        <x:v>M099</x:v>
      </x:c>
      <x:c r="B103" s="16" t="str">
        <x:v>data3-阔叶木-打浆转数-纸张性能(1).xlsx</x:v>
      </x:c>
      <x:c r="C103" s="16" t="str">
        <x:v>原始版</x:v>
      </x:c>
      <x:c r="D103" s="16" t="str">
        <x:v>Sheet1</x:v>
      </x:c>
      <x:c r="E103" s="22" t="n">
        <x:v>0</x:v>
      </x:c>
      <x:c r="F103" s="16" t="str">
        <x:v>〈工作表名〉</x:v>
      </x:c>
      <x:c r="G103" s="16" t="str">
        <x:v>—</x:v>
      </x:c>
      <x:c r="H103" s="16" t="str">
        <x:v>来源元数据</x:v>
      </x:c>
      <x:c r="I103" s="16" t="str">
        <x:v>data_source</x:v>
      </x:c>
      <x:c r="J103" s="16" t="str">
        <x:v>sheet_name</x:v>
      </x:c>
      <x:c r="K103" s="16" t="str">
        <x:v>固定写入Sheet1</x:v>
      </x:c>
      <x:c r="L103" s="16" t="str">
        <x:v>禁止为空</x:v>
      </x:c>
      <x:c r="M103" s="16" t="str">
        <x:v>仅允许有效工作表Sheet1</x:v>
      </x:c>
      <x:c r="N103" s="16" t="str">
        <x:v>空白Sheet2/Sheet3不处理</x:v>
      </x:c>
      <x:c r="O103" s="16" t="str">
        <x:v>是</x:v>
      </x:c>
      <x:c r="P103" s="16" t="str"/>
    </x:row>
    <x:row r="104" ht="34" customHeight="1">
      <x:c r="A104" s="16" t="str">
        <x:v>M100</x:v>
      </x:c>
      <x:c r="B104" s="16" t="str">
        <x:v>data3-阔叶木-打浆转数-纸张性能(1).xlsx</x:v>
      </x:c>
      <x:c r="C104" s="16" t="str">
        <x:v>原始版</x:v>
      </x:c>
      <x:c r="D104" s="16" t="str">
        <x:v>Sheet1</x:v>
      </x:c>
      <x:c r="E104" s="22" t="n">
        <x:v>0</x:v>
      </x:c>
      <x:c r="F104" s="16" t="str">
        <x:v>〈Excel行号〉</x:v>
      </x:c>
      <x:c r="G104" s="16" t="str">
        <x:v>行</x:v>
      </x:c>
      <x:c r="H104" s="16" t="str">
        <x:v>系统生成</x:v>
      </x:c>
      <x:c r="I104" s="16" t="str">
        <x:v>data_source</x:v>
      </x:c>
      <x:c r="J104" s="16" t="str">
        <x:v>source_row</x:v>
      </x:c>
      <x:c r="K104" s="16" t="str">
        <x:v>写入原始数据所在Excel实际行号</x:v>
      </x:c>
      <x:c r="L104" s="16" t="str">
        <x:v>禁止为空</x:v>
      </x:c>
      <x:c r="M104" s="16" t="str">
        <x:v>&gt;=2且为整数</x:v>
      </x:c>
      <x:c r="N104" s="16" t="str">
        <x:v>同文件、工作表、行号不得重复</x:v>
      </x:c>
      <x:c r="O104" s="16" t="str">
        <x:v>是</x:v>
      </x:c>
      <x:c r="P104" s="16" t="str"/>
    </x:row>
    <x:row r="105" ht="34" customHeight="1">
      <x:c r="A105" s="16" t="str">
        <x:v>M101</x:v>
      </x:c>
      <x:c r="B105" s="16" t="str">
        <x:v>data3-阔叶木-打浆转数-纸张性能(1).xlsx</x:v>
      </x:c>
      <x:c r="C105" s="16" t="str">
        <x:v>原始版</x:v>
      </x:c>
      <x:c r="D105" s="16" t="str">
        <x:v>Sheet1</x:v>
      </x:c>
      <x:c r="E105" s="22" t="n">
        <x:v>0</x:v>
      </x:c>
      <x:c r="F105" s="16" t="str">
        <x:v>〈来源版本〉</x:v>
      </x:c>
      <x:c r="G105" s="16" t="str">
        <x:v>—</x:v>
      </x:c>
      <x:c r="H105" s="16" t="str">
        <x:v>文件上下文</x:v>
      </x:c>
      <x:c r="I105" s="16" t="str">
        <x:v>data_source</x:v>
      </x:c>
      <x:c r="J105" s="16" t="str">
        <x:v>source_version</x:v>
      </x:c>
      <x:c r="K105" s="16" t="str">
        <x:v>固定写入原始版</x:v>
      </x:c>
      <x:c r="L105" s="16" t="str">
        <x:v>禁止为空</x:v>
      </x:c>
      <x:c r="M105" s="16" t="str">
        <x:v>复配文件必须为0110</x:v>
      </x:c>
      <x:c r="N105" s="16" t="str">
        <x:v>旧版不得覆盖0110</x:v>
      </x:c>
      <x:c r="O105" s="16" t="str">
        <x:v>是</x:v>
      </x:c>
      <x:c r="P105" s="16" t="str"/>
    </x:row>
    <x:row r="106" ht="34" customHeight="1">
      <x:c r="A106" s="16" t="str">
        <x:v>M102</x:v>
      </x:c>
      <x:c r="B106" s="16" t="str">
        <x:v>data3-阔叶木-打浆转数-纸张性能(1).xlsx</x:v>
      </x:c>
      <x:c r="C106" s="16" t="str">
        <x:v>原始版</x:v>
      </x:c>
      <x:c r="D106" s="16" t="str">
        <x:v>Sheet1</x:v>
      </x:c>
      <x:c r="E106" s="22" t="n">
        <x:v>0</x:v>
      </x:c>
      <x:c r="F106" s="16" t="str">
        <x:v>〈导入时间〉</x:v>
      </x:c>
      <x:c r="G106" s="16" t="str">
        <x:v>—</x:v>
      </x:c>
      <x:c r="H106" s="16" t="str">
        <x:v>系统生成</x:v>
      </x:c>
      <x:c r="I106" s="16" t="str">
        <x:v>data_source</x:v>
      </x:c>
      <x:c r="J106" s="16" t="str">
        <x:v>imported_at</x:v>
      </x:c>
      <x:c r="K106" s="16" t="str">
        <x:v>由PostgreSQL CURRENT_TIMESTAMP生成</x:v>
      </x:c>
      <x:c r="L106" s="16" t="str">
        <x:v>禁止为空</x:v>
      </x:c>
      <x:c r="M106" s="16" t="str">
        <x:v>TIMESTAMPTZ有效值</x:v>
      </x:c>
      <x:c r="N106" s="16" t="str">
        <x:v>不从Excel读取</x:v>
      </x:c>
      <x:c r="O106" s="16" t="str">
        <x:v>是</x:v>
      </x:c>
      <x:c r="P106" s="16" t="str"/>
    </x:row>
    <x:row r="107" ht="34" customHeight="1">
      <x:c r="A107" s="16" t="str">
        <x:v>M103</x:v>
      </x:c>
      <x:c r="B107" s="16" t="str">
        <x:v>data3-阔叶木-打浆转数-纸张性能(1).xlsx</x:v>
      </x:c>
      <x:c r="C107" s="16" t="str">
        <x:v>原始版</x:v>
      </x:c>
      <x:c r="D107" s="16" t="str">
        <x:v>Sheet1</x:v>
      </x:c>
      <x:c r="E107" s="22" t="n">
        <x:v>1</x:v>
      </x:c>
      <x:c r="F107" s="16" t="str">
        <x:v>序号</x:v>
      </x:c>
      <x:c r="G107" s="16" t="str">
        <x:v>—</x:v>
      </x:c>
      <x:c r="H107" s="16" t="str">
        <x:v>校验键</x:v>
      </x:c>
      <x:c r="I107" s="16" t="str">
        <x:v>experiment_sample</x:v>
      </x:c>
      <x:c r="J107" s="16" t="str">
        <x:v>display_order</x:v>
      </x:c>
      <x:c r="K107" s="16" t="str">
        <x:v>仅用于核对行顺序，不覆盖打浆度文件</x:v>
      </x:c>
      <x:c r="L107" s="16" t="str">
        <x:v>禁止为空</x:v>
      </x:c>
      <x:c r="M107" s="16" t="str">
        <x:v>正整数</x:v>
      </x:c>
      <x:c r="N107" s="16" t="str">
        <x:v>不一致时终止该批</x:v>
      </x:c>
      <x:c r="O107" s="16" t="str">
        <x:v>是</x:v>
      </x:c>
      <x:c r="P107" s="16" t="str"/>
    </x:row>
    <x:row r="108" ht="34" customHeight="1">
      <x:c r="A108" s="16" t="str">
        <x:v>M104</x:v>
      </x:c>
      <x:c r="B108" s="16" t="str">
        <x:v>data3-阔叶木-打浆转数-纸张性能(1).xlsx</x:v>
      </x:c>
      <x:c r="C108" s="16" t="str">
        <x:v>原始版</x:v>
      </x:c>
      <x:c r="D108" s="16" t="str">
        <x:v>Sheet1</x:v>
      </x:c>
      <x:c r="E108" s="22" t="n">
        <x:v>2</x:v>
      </x:c>
      <x:c r="F108" s="16" t="str">
        <x:v>打浆转数/r</x:v>
      </x:c>
      <x:c r="G108" s="16" t="str">
        <x:v>r</x:v>
      </x:c>
      <x:c r="H108" s="16" t="str">
        <x:v>关联键</x:v>
      </x:c>
      <x:c r="I108" s="16" t="str">
        <x:v>paper_measurement</x:v>
      </x:c>
      <x:c r="J108" s="16" t="str">
        <x:v>sample_id</x:v>
      </x:c>
      <x:c r="K108" s="16" t="str">
        <x:v>按HW+打浆转数定位canonical_code并查找sample_id</x:v>
      </x:c>
      <x:c r="L108" s="16" t="str">
        <x:v>禁止为空</x:v>
      </x:c>
      <x:c r="M108" s="16" t="str">
        <x:v>必须唯一命中样本</x:v>
      </x:c>
      <x:c r="N108" s="16" t="str">
        <x:v>不得新建仅存在于测量文件的样本</x:v>
      </x:c>
      <x:c r="O108" s="16" t="str">
        <x:v>是</x:v>
      </x:c>
      <x:c r="P108" s="16" t="str"/>
    </x:row>
    <x:row r="109" ht="34" customHeight="1">
      <x:c r="A109" s="16" t="str">
        <x:v>M105</x:v>
      </x:c>
      <x:c r="B109" s="16" t="str">
        <x:v>data3-阔叶木-打浆转数-纸张性能(1).xlsx</x:v>
      </x:c>
      <x:c r="C109" s="16" t="str">
        <x:v>原始版</x:v>
      </x:c>
      <x:c r="D109" s="16" t="str">
        <x:v>Sheet1</x:v>
      </x:c>
      <x:c r="E109" s="22" t="n">
        <x:v>3</x:v>
      </x:c>
      <x:c r="F109" s="16" t="str">
        <x:v>定量(g/m2)</x:v>
      </x:c>
      <x:c r="G109" s="16" t="str">
        <x:v>g/m²</x:v>
      </x:c>
      <x:c r="H109" s="16" t="str">
        <x:v>直接</x:v>
      </x:c>
      <x:c r="I109" s="16" t="str">
        <x:v>paper_measurement</x:v>
      </x:c>
      <x:c r="J109" s="16" t="str">
        <x:v>basis_weight_g_m2</x:v>
      </x:c>
      <x:c r="K109" s="16" t="str">
        <x:v>保留原始数值精度并转换为NUMERIC</x:v>
      </x:c>
      <x:c r="L109" s="16" t="str">
        <x:v>空白、—或/转为NULL并记录质量告警</x:v>
      </x:c>
      <x:c r="M109" s="16" t="str">
        <x:v>数值且非负</x:v>
      </x:c>
      <x:c r="N109" s="16" t="str">
        <x:v>同sample_id已有记录时不得覆盖</x:v>
      </x:c>
      <x:c r="O109" s="16" t="str">
        <x:v>是</x:v>
      </x:c>
      <x:c r="P109" s="16" t="str"/>
    </x:row>
    <x:row r="110" ht="34" customHeight="1">
      <x:c r="A110" s="16" t="str">
        <x:v>M106</x:v>
      </x:c>
      <x:c r="B110" s="16" t="str">
        <x:v>data3-阔叶木-打浆转数-纸张性能(1).xlsx</x:v>
      </x:c>
      <x:c r="C110" s="16" t="str">
        <x:v>原始版</x:v>
      </x:c>
      <x:c r="D110" s="16" t="str">
        <x:v>Sheet1</x:v>
      </x:c>
      <x:c r="E110" s="22" t="n">
        <x:v>4</x:v>
      </x:c>
      <x:c r="F110" s="16" t="str">
        <x:v>厚度(μm)</x:v>
      </x:c>
      <x:c r="G110" s="16" t="str">
        <x:v>μm</x:v>
      </x:c>
      <x:c r="H110" s="16" t="str">
        <x:v>直接</x:v>
      </x:c>
      <x:c r="I110" s="16" t="str">
        <x:v>paper_measurement</x:v>
      </x:c>
      <x:c r="J110" s="16" t="str">
        <x:v>thickness_um</x:v>
      </x:c>
      <x:c r="K110" s="16" t="str">
        <x:v>保留原始数值精度并转换为NUMERIC</x:v>
      </x:c>
      <x:c r="L110" s="16" t="str">
        <x:v>空白、—或/转为NULL并记录质量告警</x:v>
      </x:c>
      <x:c r="M110" s="16" t="str">
        <x:v>数值且非负</x:v>
      </x:c>
      <x:c r="N110" s="16" t="str">
        <x:v>同sample_id已有记录时不得覆盖</x:v>
      </x:c>
      <x:c r="O110" s="16" t="str">
        <x:v>是</x:v>
      </x:c>
      <x:c r="P110" s="16" t="str"/>
    </x:row>
    <x:row r="111" ht="34" customHeight="1">
      <x:c r="A111" s="16" t="str">
        <x:v>M107</x:v>
      </x:c>
      <x:c r="B111" s="16" t="str">
        <x:v>data3-阔叶木-打浆转数-纸张性能(1).xlsx</x:v>
      </x:c>
      <x:c r="C111" s="16" t="str">
        <x:v>原始版</x:v>
      </x:c>
      <x:c r="D111" s="16" t="str">
        <x:v>Sheet1</x:v>
      </x:c>
      <x:c r="E111" s="22" t="n">
        <x:v>5</x:v>
      </x:c>
      <x:c r="F111" s="16" t="str">
        <x:v>耐破指数(kPa·m2·g-1)</x:v>
      </x:c>
      <x:c r="G111" s="16" t="str">
        <x:v>kPa·m²/g</x:v>
      </x:c>
      <x:c r="H111" s="16" t="str">
        <x:v>直接</x:v>
      </x:c>
      <x:c r="I111" s="16" t="str">
        <x:v>paper_measurement</x:v>
      </x:c>
      <x:c r="J111" s="16" t="str">
        <x:v>burst_index</x:v>
      </x:c>
      <x:c r="K111" s="16" t="str">
        <x:v>保留原始数值精度并转换为NUMERIC</x:v>
      </x:c>
      <x:c r="L111" s="16" t="str">
        <x:v>空白、—或/转为NULL并记录质量告警</x:v>
      </x:c>
      <x:c r="M111" s="16" t="str">
        <x:v>数值且非负</x:v>
      </x:c>
      <x:c r="N111" s="16" t="str">
        <x:v>同sample_id已有记录时不得覆盖</x:v>
      </x:c>
      <x:c r="O111" s="16" t="str">
        <x:v>是</x:v>
      </x:c>
      <x:c r="P111" s="16" t="str"/>
    </x:row>
    <x:row r="112" ht="34" customHeight="1">
      <x:c r="A112" s="16" t="str">
        <x:v>M108</x:v>
      </x:c>
      <x:c r="B112" s="16" t="str">
        <x:v>data3-阔叶木-打浆转数-纸张性能(1).xlsx</x:v>
      </x:c>
      <x:c r="C112" s="16" t="str">
        <x:v>原始版</x:v>
      </x:c>
      <x:c r="D112" s="16" t="str">
        <x:v>Sheet1</x:v>
      </x:c>
      <x:c r="E112" s="22" t="n">
        <x:v>6</x:v>
      </x:c>
      <x:c r="F112" s="16" t="str">
        <x:v>撕裂指数(mN·m2·g-1)</x:v>
      </x:c>
      <x:c r="G112" s="16" t="str">
        <x:v>mN·m²/g</x:v>
      </x:c>
      <x:c r="H112" s="16" t="str">
        <x:v>直接</x:v>
      </x:c>
      <x:c r="I112" s="16" t="str">
        <x:v>paper_measurement</x:v>
      </x:c>
      <x:c r="J112" s="16" t="str">
        <x:v>tear_index</x:v>
      </x:c>
      <x:c r="K112" s="16" t="str">
        <x:v>保留原始数值精度并转换为NUMERIC</x:v>
      </x:c>
      <x:c r="L112" s="16" t="str">
        <x:v>空白、—或/转为NULL并记录质量告警</x:v>
      </x:c>
      <x:c r="M112" s="16" t="str">
        <x:v>数值且非负</x:v>
      </x:c>
      <x:c r="N112" s="16" t="str">
        <x:v>同sample_id已有记录时不得覆盖</x:v>
      </x:c>
      <x:c r="O112" s="16" t="str">
        <x:v>是</x:v>
      </x:c>
      <x:c r="P112" s="16" t="str"/>
    </x:row>
    <x:row r="113" ht="34" customHeight="1">
      <x:c r="A113" s="16" t="str">
        <x:v>M109</x:v>
      </x:c>
      <x:c r="B113" s="16" t="str">
        <x:v>data3-阔叶木-打浆转数-纸张性能(1).xlsx</x:v>
      </x:c>
      <x:c r="C113" s="16" t="str">
        <x:v>原始版</x:v>
      </x:c>
      <x:c r="D113" s="16" t="str">
        <x:v>Sheet1</x:v>
      </x:c>
      <x:c r="E113" s="22" t="n">
        <x:v>7</x:v>
      </x:c>
      <x:c r="F113" s="16" t="str">
        <x:v>抗张指数(N·m·g-1)</x:v>
      </x:c>
      <x:c r="G113" s="16" t="str">
        <x:v>N·m/g</x:v>
      </x:c>
      <x:c r="H113" s="16" t="str">
        <x:v>直接</x:v>
      </x:c>
      <x:c r="I113" s="16" t="str">
        <x:v>paper_measurement</x:v>
      </x:c>
      <x:c r="J113" s="16" t="str">
        <x:v>tensile_index</x:v>
      </x:c>
      <x:c r="K113" s="16" t="str">
        <x:v>保留原始数值精度并转换为NUMERIC</x:v>
      </x:c>
      <x:c r="L113" s="16" t="str">
        <x:v>空白、—或/转为NULL并记录质量告警</x:v>
      </x:c>
      <x:c r="M113" s="16" t="str">
        <x:v>数值且非负</x:v>
      </x:c>
      <x:c r="N113" s="16" t="str">
        <x:v>同sample_id已有记录时不得覆盖</x:v>
      </x:c>
      <x:c r="O113" s="16" t="str">
        <x:v>是</x:v>
      </x:c>
      <x:c r="P113" s="16" t="str"/>
    </x:row>
    <x:row r="114" ht="34" customHeight="1">
      <x:c r="A114" s="16" t="str">
        <x:v>M110</x:v>
      </x:c>
      <x:c r="B114" s="16" t="str">
        <x:v>data3-阔叶木-打浆转数-纸张性能(1).xlsx</x:v>
      </x:c>
      <x:c r="C114" s="16" t="str">
        <x:v>原始版</x:v>
      </x:c>
      <x:c r="D114" s="16" t="str">
        <x:v>Sheet1</x:v>
      </x:c>
      <x:c r="E114" s="22" t="n">
        <x:v>8</x:v>
      </x:c>
      <x:c r="F114" s="16" t="str">
        <x:v>零距抗张强度(N/cm)</x:v>
      </x:c>
      <x:c r="G114" s="16" t="str">
        <x:v>N/cm</x:v>
      </x:c>
      <x:c r="H114" s="16" t="str">
        <x:v>直接</x:v>
      </x:c>
      <x:c r="I114" s="16" t="str">
        <x:v>paper_measurement</x:v>
      </x:c>
      <x:c r="J114" s="16" t="str">
        <x:v>zero_span_tensile</x:v>
      </x:c>
      <x:c r="K114" s="16" t="str">
        <x:v>保留原始数值精度并转换为NUMERIC</x:v>
      </x:c>
      <x:c r="L114" s="16" t="str">
        <x:v>空白、—或/转为NULL并记录质量告警</x:v>
      </x:c>
      <x:c r="M114" s="16" t="str">
        <x:v>数值且非负</x:v>
      </x:c>
      <x:c r="N114" s="16" t="str">
        <x:v>同sample_id已有记录时不得覆盖</x:v>
      </x:c>
      <x:c r="O114" s="16" t="str">
        <x:v>是</x:v>
      </x:c>
      <x:c r="P114" s="16" t="str"/>
    </x:row>
    <x:row r="115" ht="34" customHeight="1">
      <x:c r="A115" s="16" t="str">
        <x:v>M111</x:v>
      </x:c>
      <x:c r="B115" s="16" t="str">
        <x:v>data3-阔叶木-打浆转数-纸张性能(1).xlsx</x:v>
      </x:c>
      <x:c r="C115" s="16" t="str">
        <x:v>原始版</x:v>
      </x:c>
      <x:c r="D115" s="16" t="str">
        <x:v>Sheet1</x:v>
      </x:c>
      <x:c r="E115" s="22" t="n">
        <x:v>9</x:v>
      </x:c>
      <x:c r="F115" s="16" t="str">
        <x:v>表面粗糙度(ml/min)</x:v>
      </x:c>
      <x:c r="G115" s="16" t="str">
        <x:v>ml/min</x:v>
      </x:c>
      <x:c r="H115" s="16" t="str">
        <x:v>直接</x:v>
      </x:c>
      <x:c r="I115" s="16" t="str">
        <x:v>paper_measurement</x:v>
      </x:c>
      <x:c r="J115" s="16" t="str">
        <x:v>surface_roughness</x:v>
      </x:c>
      <x:c r="K115" s="16" t="str">
        <x:v>保留原始数值精度并转换为NUMERIC</x:v>
      </x:c>
      <x:c r="L115" s="16" t="str">
        <x:v>空白、—或/转为NULL并记录质量告警</x:v>
      </x:c>
      <x:c r="M115" s="16" t="str">
        <x:v>数值且非负</x:v>
      </x:c>
      <x:c r="N115" s="16" t="str">
        <x:v>同sample_id已有记录时不得覆盖</x:v>
      </x:c>
      <x:c r="O115" s="16" t="str">
        <x:v>是</x:v>
      </x:c>
      <x:c r="P115" s="16" t="str"/>
    </x:row>
    <x:row r="116" ht="34" customHeight="1">
      <x:c r="A116" s="16" t="str">
        <x:v>M112</x:v>
      </x:c>
      <x:c r="B116" s="16" t="str">
        <x:v>data3-阔叶木-打浆转数-纸张性能(1).xlsx</x:v>
      </x:c>
      <x:c r="C116" s="16" t="str">
        <x:v>原始版</x:v>
      </x:c>
      <x:c r="D116" s="16" t="str">
        <x:v>Sheet1</x:v>
      </x:c>
      <x:c r="E116" s="22" t="n">
        <x:v>10</x:v>
      </x:c>
      <x:c r="F116" s="16" t="str">
        <x:v>透气度</x:v>
      </x:c>
      <x:c r="G116" s="16" t="str">
        <x:v>源表未标注；设计暂定μm/(Pa·s)</x:v>
      </x:c>
      <x:c r="H116" s="16" t="str">
        <x:v>直接</x:v>
      </x:c>
      <x:c r="I116" s="16" t="str">
        <x:v>paper_measurement</x:v>
      </x:c>
      <x:c r="J116" s="16" t="str">
        <x:v>air_permeability</x:v>
      </x:c>
      <x:c r="K116" s="16" t="str">
        <x:v>保留原始数值精度并转换为NUMERIC</x:v>
      </x:c>
      <x:c r="L116" s="16" t="str">
        <x:v>空白、—或/转为NULL并记录质量告警</x:v>
      </x:c>
      <x:c r="M116" s="16" t="str">
        <x:v>数值且非负</x:v>
      </x:c>
      <x:c r="N116" s="16" t="str">
        <x:v>同sample_id已有记录时不得覆盖</x:v>
      </x:c>
      <x:c r="O116" s="16" t="str">
        <x:v>是</x:v>
      </x:c>
      <x:c r="P116" s="16" t="str">
        <x:v>单位状态见字段数据字典</x:v>
      </x:c>
    </x:row>
    <x:row r="117" ht="34" customHeight="1">
      <x:c r="A117" s="16" t="str">
        <x:v>M113</x:v>
      </x:c>
      <x:c r="B117" s="16" t="str">
        <x:v>data3-阔叶木-打浆转数-纸张性能(1).xlsx</x:v>
      </x:c>
      <x:c r="C117" s="16" t="str">
        <x:v>原始版</x:v>
      </x:c>
      <x:c r="D117" s="16" t="str">
        <x:v>Sheet1</x:v>
      </x:c>
      <x:c r="E117" s="22" t="n">
        <x:v>11</x:v>
      </x:c>
      <x:c r="F117" s="16" t="str">
        <x:v>耐折度</x:v>
      </x:c>
      <x:c r="G117" s="16" t="str">
        <x:v>待确认</x:v>
      </x:c>
      <x:c r="H117" s="16" t="str">
        <x:v>直接</x:v>
      </x:c>
      <x:c r="I117" s="16" t="str">
        <x:v>paper_measurement</x:v>
      </x:c>
      <x:c r="J117" s="16" t="str">
        <x:v>folding_endurance_raw</x:v>
      </x:c>
      <x:c r="K117" s="16" t="str">
        <x:v>保留原始数值精度并转换为NUMERIC</x:v>
      </x:c>
      <x:c r="L117" s="16" t="str">
        <x:v>空白、—或/转为NULL并记录质量告警</x:v>
      </x:c>
      <x:c r="M117" s="16" t="str">
        <x:v>数值且非负</x:v>
      </x:c>
      <x:c r="N117" s="16" t="str">
        <x:v>同sample_id已有记录时不得覆盖</x:v>
      </x:c>
      <x:c r="O117" s="16" t="str">
        <x:v>是</x:v>
      </x:c>
      <x:c r="P117" s="16" t="str">
        <x:v>单位状态见字段数据字典</x:v>
      </x:c>
    </x:row>
    <x:row r="118" ht="34" customHeight="1">
      <x:c r="A118" s="16" t="str">
        <x:v>M114</x:v>
      </x:c>
      <x:c r="B118" s="16" t="str">
        <x:v>data3-阔叶木-打浆转数-纸张性能(1).xlsx</x:v>
      </x:c>
      <x:c r="C118" s="16" t="str">
        <x:v>原始版</x:v>
      </x:c>
      <x:c r="D118" s="16" t="str">
        <x:v>Sheet1</x:v>
      </x:c>
      <x:c r="E118" s="22" t="n">
        <x:v>0</x:v>
      </x:c>
      <x:c r="F118" s="16" t="str">
        <x:v>〈实验规则〉</x:v>
      </x:c>
      <x:c r="G118" s="16" t="str">
        <x:v>次</x:v>
      </x:c>
      <x:c r="H118" s="16" t="str">
        <x:v>常量</x:v>
      </x:c>
      <x:c r="I118" s="16" t="str">
        <x:v>paper_measurement</x:v>
      </x:c>
      <x:c r="J118" s="16" t="str">
        <x:v>replicate_count</x:v>
      </x:c>
      <x:c r="K118" s="16" t="str">
        <x:v>固定写入3</x:v>
      </x:c>
      <x:c r="L118" s="16" t="str">
        <x:v>禁止为空</x:v>
      </x:c>
      <x:c r="M118" s="16" t="str">
        <x:v>等于3</x:v>
      </x:c>
      <x:c r="N118" s="16" t="str">
        <x:v>不从Excel重复计算</x:v>
      </x:c>
      <x:c r="O118" s="16" t="str">
        <x:v>是</x:v>
      </x:c>
      <x:c r="P118" s="16" t="str"/>
    </x:row>
    <x:row r="119" ht="34" customHeight="1">
      <x:c r="A119" s="16" t="str">
        <x:v>M115</x:v>
      </x:c>
      <x:c r="B119" s="16" t="str">
        <x:v>data3-阔叶木-打浆转数-纸张性能(1).xlsx</x:v>
      </x:c>
      <x:c r="C119" s="16" t="str">
        <x:v>原始版</x:v>
      </x:c>
      <x:c r="D119" s="16" t="str">
        <x:v>Sheet1</x:v>
      </x:c>
      <x:c r="E119" s="22" t="n">
        <x:v>0</x:v>
      </x:c>
      <x:c r="F119" s="16" t="str">
        <x:v>〈实验规则〉</x:v>
      </x:c>
      <x:c r="G119" s="16" t="str">
        <x:v>—</x:v>
      </x:c>
      <x:c r="H119" s="16" t="str">
        <x:v>常量</x:v>
      </x:c>
      <x:c r="I119" s="16" t="str">
        <x:v>paper_measurement</x:v>
      </x:c>
      <x:c r="J119" s="16" t="str">
        <x:v>aggregation_method</x:v>
      </x:c>
      <x:c r="K119" s="16" t="str">
        <x:v>固定写入“剔除偏差值后取最终均值”</x:v>
      </x:c>
      <x:c r="L119" s="16" t="str">
        <x:v>禁止为空</x:v>
      </x:c>
      <x:c r="M119" s="16" t="str">
        <x:v>非空</x:v>
      </x:c>
      <x:c r="N119" s="16" t="str">
        <x:v>源表数值按最终均值接收</x:v>
      </x:c>
      <x:c r="O119" s="16" t="str">
        <x:v>是</x:v>
      </x:c>
      <x:c r="P119" s="16" t="str"/>
    </x:row>
    <x:row r="120" ht="34" customHeight="1">
      <x:c r="A120" s="16" t="str">
        <x:v>M116</x:v>
      </x:c>
      <x:c r="B120" s="16" t="str">
        <x:v>data3-阔叶木-打浆转数-纸张性能(1).xlsx</x:v>
      </x:c>
      <x:c r="C120" s="16" t="str">
        <x:v>原始版</x:v>
      </x:c>
      <x:c r="D120" s="16" t="str">
        <x:v>Sheet1</x:v>
      </x:c>
      <x:c r="E120" s="22" t="n">
        <x:v>0</x:v>
      </x:c>
      <x:c r="F120" s="16" t="str">
        <x:v>〈当前来源行〉</x:v>
      </x:c>
      <x:c r="G120" s="16" t="str">
        <x:v>—</x:v>
      </x:c>
      <x:c r="H120" s="16" t="str">
        <x:v>关联</x:v>
      </x:c>
      <x:c r="I120" s="16" t="str">
        <x:v>paper_measurement</x:v>
      </x:c>
      <x:c r="J120" s="16" t="str">
        <x:v>source_id</x:v>
      </x:c>
      <x:c r="K120" s="16" t="str">
        <x:v>引用本行data_source.source_id</x:v>
      </x:c>
      <x:c r="L120" s="16" t="str">
        <x:v>禁止为空</x:v>
      </x:c>
      <x:c r="M120" s="16" t="str">
        <x:v>外键有效</x:v>
      </x:c>
      <x:c r="N120" s="16" t="str">
        <x:v>缺失来源不得入库</x:v>
      </x:c>
      <x:c r="O120" s="16" t="str">
        <x:v>是</x:v>
      </x:c>
      <x:c r="P120" s="16" t="str"/>
    </x:row>
    <x:row r="121" ht="34" customHeight="1">
      <x:c r="A121" s="16" t="str">
        <x:v>M117</x:v>
      </x:c>
      <x:c r="B121" s="16" t="str">
        <x:v>data4-针阔-复配-纤维特性0110(1).xlsx</x:v>
      </x:c>
      <x:c r="C121" s="16" t="str">
        <x:v>0110</x:v>
      </x:c>
      <x:c r="D121" s="16" t="str">
        <x:v>Sheet1</x:v>
      </x:c>
      <x:c r="E121" s="22" t="n">
        <x:v>0</x:v>
      </x:c>
      <x:c r="F121" s="16" t="str">
        <x:v>〈文件名〉</x:v>
      </x:c>
      <x:c r="G121" s="16" t="str">
        <x:v>—</x:v>
      </x:c>
      <x:c r="H121" s="16" t="str">
        <x:v>来源元数据</x:v>
      </x:c>
      <x:c r="I121" s="16" t="str">
        <x:v>data_source</x:v>
      </x:c>
      <x:c r="J121" s="16" t="str">
        <x:v>file_name</x:v>
      </x:c>
      <x:c r="K121" s="16" t="str">
        <x:v>写入当前原始文件名</x:v>
      </x:c>
      <x:c r="L121" s="16" t="str">
        <x:v>禁止为空</x:v>
      </x:c>
      <x:c r="M121" s="16" t="str">
        <x:v>必须在正式来源白名单中</x:v>
      </x:c>
      <x:c r="N121" s="16" t="str">
        <x:v>旧复配版或汇总文件立即终止该批</x:v>
      </x:c>
      <x:c r="O121" s="16" t="str">
        <x:v>是</x:v>
      </x:c>
      <x:c r="P121" s="16" t="str"/>
    </x:row>
    <x:row r="122" ht="34" customHeight="1">
      <x:c r="A122" s="16" t="str">
        <x:v>M118</x:v>
      </x:c>
      <x:c r="B122" s="16" t="str">
        <x:v>data4-针阔-复配-纤维特性0110(1).xlsx</x:v>
      </x:c>
      <x:c r="C122" s="16" t="str">
        <x:v>0110</x:v>
      </x:c>
      <x:c r="D122" s="16" t="str">
        <x:v>Sheet1</x:v>
      </x:c>
      <x:c r="E122" s="22" t="n">
        <x:v>0</x:v>
      </x:c>
      <x:c r="F122" s="16" t="str">
        <x:v>〈工作表名〉</x:v>
      </x:c>
      <x:c r="G122" s="16" t="str">
        <x:v>—</x:v>
      </x:c>
      <x:c r="H122" s="16" t="str">
        <x:v>来源元数据</x:v>
      </x:c>
      <x:c r="I122" s="16" t="str">
        <x:v>data_source</x:v>
      </x:c>
      <x:c r="J122" s="16" t="str">
        <x:v>sheet_name</x:v>
      </x:c>
      <x:c r="K122" s="16" t="str">
        <x:v>固定写入Sheet1</x:v>
      </x:c>
      <x:c r="L122" s="16" t="str">
        <x:v>禁止为空</x:v>
      </x:c>
      <x:c r="M122" s="16" t="str">
        <x:v>仅允许有效工作表Sheet1</x:v>
      </x:c>
      <x:c r="N122" s="16" t="str">
        <x:v>空白Sheet2/Sheet3不处理</x:v>
      </x:c>
      <x:c r="O122" s="16" t="str">
        <x:v>是</x:v>
      </x:c>
      <x:c r="P122" s="16" t="str"/>
    </x:row>
    <x:row r="123" ht="34" customHeight="1">
      <x:c r="A123" s="16" t="str">
        <x:v>M119</x:v>
      </x:c>
      <x:c r="B123" s="16" t="str">
        <x:v>data4-针阔-复配-纤维特性0110(1).xlsx</x:v>
      </x:c>
      <x:c r="C123" s="16" t="str">
        <x:v>0110</x:v>
      </x:c>
      <x:c r="D123" s="16" t="str">
        <x:v>Sheet1</x:v>
      </x:c>
      <x:c r="E123" s="22" t="n">
        <x:v>0</x:v>
      </x:c>
      <x:c r="F123" s="16" t="str">
        <x:v>〈Excel行号〉</x:v>
      </x:c>
      <x:c r="G123" s="16" t="str">
        <x:v>行</x:v>
      </x:c>
      <x:c r="H123" s="16" t="str">
        <x:v>系统生成</x:v>
      </x:c>
      <x:c r="I123" s="16" t="str">
        <x:v>data_source</x:v>
      </x:c>
      <x:c r="J123" s="16" t="str">
        <x:v>source_row</x:v>
      </x:c>
      <x:c r="K123" s="16" t="str">
        <x:v>写入原始数据所在Excel实际行号</x:v>
      </x:c>
      <x:c r="L123" s="16" t="str">
        <x:v>禁止为空</x:v>
      </x:c>
      <x:c r="M123" s="16" t="str">
        <x:v>&gt;=2且为整数</x:v>
      </x:c>
      <x:c r="N123" s="16" t="str">
        <x:v>同文件、工作表、行号不得重复</x:v>
      </x:c>
      <x:c r="O123" s="16" t="str">
        <x:v>是</x:v>
      </x:c>
      <x:c r="P123" s="16" t="str"/>
    </x:row>
    <x:row r="124" ht="34" customHeight="1">
      <x:c r="A124" s="16" t="str">
        <x:v>M120</x:v>
      </x:c>
      <x:c r="B124" s="16" t="str">
        <x:v>data4-针阔-复配-纤维特性0110(1).xlsx</x:v>
      </x:c>
      <x:c r="C124" s="16" t="str">
        <x:v>0110</x:v>
      </x:c>
      <x:c r="D124" s="16" t="str">
        <x:v>Sheet1</x:v>
      </x:c>
      <x:c r="E124" s="22" t="n">
        <x:v>0</x:v>
      </x:c>
      <x:c r="F124" s="16" t="str">
        <x:v>〈来源版本〉</x:v>
      </x:c>
      <x:c r="G124" s="16" t="str">
        <x:v>—</x:v>
      </x:c>
      <x:c r="H124" s="16" t="str">
        <x:v>文件上下文</x:v>
      </x:c>
      <x:c r="I124" s="16" t="str">
        <x:v>data_source</x:v>
      </x:c>
      <x:c r="J124" s="16" t="str">
        <x:v>source_version</x:v>
      </x:c>
      <x:c r="K124" s="16" t="str">
        <x:v>固定写入0110</x:v>
      </x:c>
      <x:c r="L124" s="16" t="str">
        <x:v>禁止为空</x:v>
      </x:c>
      <x:c r="M124" s="16" t="str">
        <x:v>复配文件必须为0110</x:v>
      </x:c>
      <x:c r="N124" s="16" t="str">
        <x:v>旧版不得覆盖0110</x:v>
      </x:c>
      <x:c r="O124" s="16" t="str">
        <x:v>是</x:v>
      </x:c>
      <x:c r="P124" s="16" t="str"/>
    </x:row>
    <x:row r="125" ht="34" customHeight="1">
      <x:c r="A125" s="16" t="str">
        <x:v>M121</x:v>
      </x:c>
      <x:c r="B125" s="16" t="str">
        <x:v>data4-针阔-复配-纤维特性0110(1).xlsx</x:v>
      </x:c>
      <x:c r="C125" s="16" t="str">
        <x:v>0110</x:v>
      </x:c>
      <x:c r="D125" s="16" t="str">
        <x:v>Sheet1</x:v>
      </x:c>
      <x:c r="E125" s="22" t="n">
        <x:v>0</x:v>
      </x:c>
      <x:c r="F125" s="16" t="str">
        <x:v>〈导入时间〉</x:v>
      </x:c>
      <x:c r="G125" s="16" t="str">
        <x:v>—</x:v>
      </x:c>
      <x:c r="H125" s="16" t="str">
        <x:v>系统生成</x:v>
      </x:c>
      <x:c r="I125" s="16" t="str">
        <x:v>data_source</x:v>
      </x:c>
      <x:c r="J125" s="16" t="str">
        <x:v>imported_at</x:v>
      </x:c>
      <x:c r="K125" s="16" t="str">
        <x:v>由PostgreSQL CURRENT_TIMESTAMP生成</x:v>
      </x:c>
      <x:c r="L125" s="16" t="str">
        <x:v>禁止为空</x:v>
      </x:c>
      <x:c r="M125" s="16" t="str">
        <x:v>TIMESTAMPTZ有效值</x:v>
      </x:c>
      <x:c r="N125" s="16" t="str">
        <x:v>不从Excel读取</x:v>
      </x:c>
      <x:c r="O125" s="16" t="str">
        <x:v>是</x:v>
      </x:c>
      <x:c r="P125" s="16" t="str"/>
    </x:row>
    <x:row r="126" ht="34" customHeight="1">
      <x:c r="A126" s="16" t="str">
        <x:v>M122</x:v>
      </x:c>
      <x:c r="B126" s="16" t="str">
        <x:v>data4-针阔-复配-纤维特性0110(1).xlsx</x:v>
      </x:c>
      <x:c r="C126" s="16" t="str">
        <x:v>0110</x:v>
      </x:c>
      <x:c r="D126" s="16" t="str">
        <x:v>Sheet1</x:v>
      </x:c>
      <x:c r="E126" s="22" t="n">
        <x:v>1</x:v>
      </x:c>
      <x:c r="F126" s="16" t="str">
        <x:v>复配编号（源表A列无表头）</x:v>
      </x:c>
      <x:c r="G126" s="16" t="str">
        <x:v>—</x:v>
      </x:c>
      <x:c r="H126" s="16" t="str">
        <x:v>直接</x:v>
      </x:c>
      <x:c r="I126" s="16" t="str">
        <x:v>experiment_sample</x:v>
      </x:c>
      <x:c r="J126" s="16" t="str">
        <x:v>display_code</x:v>
      </x:c>
      <x:c r="K126" s="16" t="str">
        <x:v>保留zk010、zk19…zk100原始代码</x:v>
      </x:c>
      <x:c r="L126" s="16" t="str">
        <x:v>禁止为空</x:v>
      </x:c>
      <x:c r="M126" s="16" t="str">
        <x:v>必须匹配^zk(010|[1-9][1-9]|100)$且在本批唯一</x:v>
      </x:c>
      <x:c r="N126" s="16" t="str">
        <x:v>0110纤维文件为复配展示点权威来源</x:v>
      </x:c>
      <x:c r="O126" s="16" t="str">
        <x:v>是</x:v>
      </x:c>
      <x:c r="P126" s="16" t="str"/>
    </x:row>
    <x:row r="127" ht="34" customHeight="1">
      <x:c r="A127" s="16" t="str">
        <x:v>M123</x:v>
      </x:c>
      <x:c r="B127" s="16" t="str">
        <x:v>data4-针阔-复配-纤维特性0110(1).xlsx</x:v>
      </x:c>
      <x:c r="C127" s="16" t="str">
        <x:v>0110</x:v>
      </x:c>
      <x:c r="D127" s="16" t="str">
        <x:v>Sheet1</x:v>
      </x:c>
      <x:c r="E127" s="22" t="n">
        <x:v>1</x:v>
      </x:c>
      <x:c r="F127" s="16" t="str">
        <x:v>复配编号（源表A列无表头）</x:v>
      </x:c>
      <x:c r="G127" s="16" t="str">
        <x:v>—</x:v>
      </x:c>
      <x:c r="H127" s="16" t="str">
        <x:v>派生</x:v>
      </x:c>
      <x:c r="I127" s="16" t="str">
        <x:v>experiment_sample</x:v>
      </x:c>
      <x:c r="J127" s="16" t="str">
        <x:v>display_order</x:v>
      </x:c>
      <x:c r="K127" s="16" t="str">
        <x:v>按针叶木比例0%、10%…100%生成1至11</x:v>
      </x:c>
      <x:c r="L127" s="16" t="str">
        <x:v>禁止为空</x:v>
      </x:c>
      <x:c r="M127" s="16" t="str">
        <x:v>1至11且连续</x:v>
      </x:c>
      <x:c r="N127" s="16" t="str">
        <x:v>不得按文本字典序排序</x:v>
      </x:c>
      <x:c r="O127" s="16" t="str">
        <x:v>是</x:v>
      </x:c>
      <x:c r="P127" s="16" t="str"/>
    </x:row>
    <x:row r="128" ht="34" customHeight="1">
      <x:c r="A128" s="16" t="str">
        <x:v>M124</x:v>
      </x:c>
      <x:c r="B128" s="16" t="str">
        <x:v>data4-针阔-复配-纤维特性0110(1).xlsx</x:v>
      </x:c>
      <x:c r="C128" s="16" t="str">
        <x:v>0110</x:v>
      </x:c>
      <x:c r="D128" s="16" t="str">
        <x:v>Sheet1</x:v>
      </x:c>
      <x:c r="E128" s="22" t="n">
        <x:v>1</x:v>
      </x:c>
      <x:c r="F128" s="16" t="str">
        <x:v>复配编号（源表A列无表头）</x:v>
      </x:c>
      <x:c r="G128" s="16" t="str">
        <x:v>—</x:v>
      </x:c>
      <x:c r="H128" s="16" t="str">
        <x:v>派生/查找</x:v>
      </x:c>
      <x:c r="I128" s="16" t="str">
        <x:v>sample</x:v>
      </x:c>
      <x:c r="J128" s="16" t="str">
        <x:v>canonical_code</x:v>
      </x:c>
      <x:c r="K128" s="16" t="str">
        <x:v>zk010引用HW_R08000；zk100引用SW_R14000；中间点生成BLEND_SW{比例3位}_HW{比例3位}</x:v>
      </x:c>
      <x:c r="L128" s="16" t="str">
        <x:v>禁止为空</x:v>
      </x:c>
      <x:c r="M128" s="16" t="str">
        <x:v>全库唯一</x:v>
      </x:c>
      <x:c r="N128" s="16" t="str">
        <x:v>两个端点必须复用纯浆样本，不新建</x:v>
      </x:c>
      <x:c r="O128" s="16" t="str">
        <x:v>是</x:v>
      </x:c>
      <x:c r="P128" s="16" t="str"/>
    </x:row>
    <x:row r="129" ht="34" customHeight="1">
      <x:c r="A129" s="16" t="str">
        <x:v>M125</x:v>
      </x:c>
      <x:c r="B129" s="16" t="str">
        <x:v>data4-针阔-复配-纤维特性0110(1).xlsx</x:v>
      </x:c>
      <x:c r="C129" s="16" t="str">
        <x:v>0110</x:v>
      </x:c>
      <x:c r="D129" s="16" t="str">
        <x:v>Sheet1</x:v>
      </x:c>
      <x:c r="E129" s="22" t="n">
        <x:v>1</x:v>
      </x:c>
      <x:c r="F129" s="16" t="str">
        <x:v>复配编号（源表A列无表头）</x:v>
      </x:c>
      <x:c r="G129" s="16" t="str">
        <x:v>—</x:v>
      </x:c>
      <x:c r="H129" s="16" t="str">
        <x:v>条件常量</x:v>
      </x:c>
      <x:c r="I129" s="16" t="str">
        <x:v>sample</x:v>
      </x:c>
      <x:c r="J129" s="16" t="str">
        <x:v>sample_type</x:v>
      </x:c>
      <x:c r="K129" s="16" t="str">
        <x:v>中间9点写入blend；端点沿用原有类型</x:v>
      </x:c>
      <x:c r="L129" s="16" t="str">
        <x:v>禁止为空</x:v>
      </x:c>
      <x:c r="M129" s="16" t="str">
        <x:v>枚举值合法</x:v>
      </x:c>
      <x:c r="N129" s="16" t="str">
        <x:v>端点不得改为blend</x:v>
      </x:c>
      <x:c r="O129" s="16" t="str">
        <x:v>是</x:v>
      </x:c>
      <x:c r="P129" s="16" t="str"/>
    </x:row>
    <x:row r="130" ht="34" customHeight="1">
      <x:c r="A130" s="16" t="str">
        <x:v>M126</x:v>
      </x:c>
      <x:c r="B130" s="16" t="str">
        <x:v>data4-针阔-复配-纤维特性0110(1).xlsx</x:v>
      </x:c>
      <x:c r="C130" s="16" t="str">
        <x:v>0110</x:v>
      </x:c>
      <x:c r="D130" s="16" t="str">
        <x:v>Sheet1</x:v>
      </x:c>
      <x:c r="E130" s="22" t="n">
        <x:v>1</x:v>
      </x:c>
      <x:c r="F130" s="16" t="str">
        <x:v>复配编号（源表A列无表头）</x:v>
      </x:c>
      <x:c r="G130" s="16" t="str">
        <x:v>—</x:v>
      </x:c>
      <x:c r="H130" s="16" t="str">
        <x:v>派生</x:v>
      </x:c>
      <x:c r="I130" s="16" t="str">
        <x:v>sample</x:v>
      </x:c>
      <x:c r="J130" s="16" t="str">
        <x:v>display_name</x:v>
      </x:c>
      <x:c r="K130" s="16" t="str">
        <x:v>中间点生成针叶木浆{比例}%+阔叶木浆{比例}%</x:v>
      </x:c>
      <x:c r="L130" s="16" t="str">
        <x:v>禁止为空</x:v>
      </x:c>
      <x:c r="M130" s="16" t="str">
        <x:v>比例合计100%</x:v>
      </x:c>
      <x:c r="N130" s="16" t="str">
        <x:v>端点沿用纯浆显示名</x:v>
      </x:c>
      <x:c r="O130" s="16" t="str">
        <x:v>是</x:v>
      </x:c>
      <x:c r="P130" s="16" t="str"/>
    </x:row>
    <x:row r="131" ht="34" customHeight="1">
      <x:c r="A131" s="16" t="str">
        <x:v>M127</x:v>
      </x:c>
      <x:c r="B131" s="16" t="str">
        <x:v>data4-针阔-复配-纤维特性0110(1).xlsx</x:v>
      </x:c>
      <x:c r="C131" s="16" t="str">
        <x:v>0110</x:v>
      </x:c>
      <x:c r="D131" s="16" t="str">
        <x:v>Sheet1</x:v>
      </x:c>
      <x:c r="E131" s="22" t="n">
        <x:v>0</x:v>
      </x:c>
      <x:c r="F131" s="16" t="str">
        <x:v>〈复配实验上下文〉</x:v>
      </x:c>
      <x:c r="G131" s="16" t="str">
        <x:v>—</x:v>
      </x:c>
      <x:c r="H131" s="16" t="str">
        <x:v>常量/查找</x:v>
      </x:c>
      <x:c r="I131" s="16" t="str">
        <x:v>experiment_sample</x:v>
      </x:c>
      <x:c r="J131" s="16" t="str">
        <x:v>experiment_id</x:v>
      </x:c>
      <x:c r="K131" s="16" t="str">
        <x:v>按experiment_code=BLEND查找</x:v>
      </x:c>
      <x:c r="L131" s="16" t="str">
        <x:v>禁止为空</x:v>
      </x:c>
      <x:c r="M131" s="16" t="str">
        <x:v>必须命中一个实验</x:v>
      </x:c>
      <x:c r="N131" s="16" t="str">
        <x:v>禁止自动创建未知实验</x:v>
      </x:c>
      <x:c r="O131" s="16" t="str">
        <x:v>是</x:v>
      </x:c>
      <x:c r="P131" s="16" t="str"/>
    </x:row>
    <x:row r="132" ht="34" customHeight="1">
      <x:c r="A132" s="16" t="str">
        <x:v>M128</x:v>
      </x:c>
      <x:c r="B132" s="16" t="str">
        <x:v>data4-针阔-复配-纤维特性0110(1).xlsx</x:v>
      </x:c>
      <x:c r="C132" s="16" t="str">
        <x:v>0110</x:v>
      </x:c>
      <x:c r="D132" s="16" t="str">
        <x:v>Sheet1</x:v>
      </x:c>
      <x:c r="E132" s="22" t="n">
        <x:v>1</x:v>
      </x:c>
      <x:c r="F132" s="16" t="str">
        <x:v>复配编号（源表A列无表头）</x:v>
      </x:c>
      <x:c r="G132" s="16" t="str">
        <x:v>—</x:v>
      </x:c>
      <x:c r="H132" s="16" t="str">
        <x:v>查找/创建</x:v>
      </x:c>
      <x:c r="I132" s="16" t="str">
        <x:v>experiment_sample</x:v>
      </x:c>
      <x:c r="J132" s="16" t="str">
        <x:v>sample_id</x:v>
      </x:c>
      <x:c r="K132" s="16" t="str">
        <x:v>按派生canonical_code查找；仅中间9点创建新样本</x:v>
      </x:c>
      <x:c r="L132" s="16" t="str">
        <x:v>禁止为空</x:v>
      </x:c>
      <x:c r="M132" s="16" t="str">
        <x:v>必须唯一命中</x:v>
      </x:c>
      <x:c r="N132" s="16" t="str">
        <x:v>端点引用已有纯浆sample_id</x:v>
      </x:c>
      <x:c r="O132" s="16" t="str">
        <x:v>是</x:v>
      </x:c>
      <x:c r="P132" s="16" t="str"/>
    </x:row>
    <x:row r="133" ht="34" customHeight="1">
      <x:c r="A133" s="16" t="str">
        <x:v>M129</x:v>
      </x:c>
      <x:c r="B133" s="16" t="str">
        <x:v>data4-针阔-复配-纤维特性0110(1).xlsx</x:v>
      </x:c>
      <x:c r="C133" s="16" t="str">
        <x:v>0110</x:v>
      </x:c>
      <x:c r="D133" s="16" t="str">
        <x:v>Sheet1</x:v>
      </x:c>
      <x:c r="E133" s="22" t="n">
        <x:v>0</x:v>
      </x:c>
      <x:c r="F133" s="16" t="str">
        <x:v>〈当前来源行〉</x:v>
      </x:c>
      <x:c r="G133" s="16" t="str">
        <x:v>—</x:v>
      </x:c>
      <x:c r="H133" s="16" t="str">
        <x:v>关联</x:v>
      </x:c>
      <x:c r="I133" s="16" t="str">
        <x:v>experiment_sample</x:v>
      </x:c>
      <x:c r="J133" s="16" t="str">
        <x:v>source_id</x:v>
      </x:c>
      <x:c r="K133" s="16" t="str">
        <x:v>引用本行data_source.source_id</x:v>
      </x:c>
      <x:c r="L133" s="16" t="str">
        <x:v>禁止为空</x:v>
      </x:c>
      <x:c r="M133" s="16" t="str">
        <x:v>外键有效</x:v>
      </x:c>
      <x:c r="N133" s="16" t="str">
        <x:v>缺失来源不得入库</x:v>
      </x:c>
      <x:c r="O133" s="16" t="str">
        <x:v>是</x:v>
      </x:c>
      <x:c r="P133" s="16" t="str"/>
    </x:row>
    <x:row r="134" ht="34" customHeight="1">
      <x:c r="A134" s="16" t="str">
        <x:v>M130</x:v>
      </x:c>
      <x:c r="B134" s="16" t="str">
        <x:v>data4-针阔-复配-纤维特性0110(1).xlsx</x:v>
      </x:c>
      <x:c r="C134" s="16" t="str">
        <x:v>0110</x:v>
      </x:c>
      <x:c r="D134" s="16" t="str">
        <x:v>Sheet1</x:v>
      </x:c>
      <x:c r="E134" s="22" t="n">
        <x:v>1</x:v>
      </x:c>
      <x:c r="F134" s="16" t="str">
        <x:v>复配编号（源表A列无表头）</x:v>
      </x:c>
      <x:c r="G134" s="16" t="str">
        <x:v>—</x:v>
      </x:c>
      <x:c r="H134" s="16" t="str">
        <x:v>条件生成</x:v>
      </x:c>
      <x:c r="I134" s="16" t="str">
        <x:v>sample_component</x:v>
      </x:c>
      <x:c r="J134" s="16" t="str">
        <x:v>sample_id</x:v>
      </x:c>
      <x:c r="K134" s="16" t="str">
        <x:v>仅中间9点引用新建blend sample_id（SW组分）</x:v>
      </x:c>
      <x:c r="L134" s="16" t="str">
        <x:v>禁止为空</x:v>
      </x:c>
      <x:c r="M134" s="16" t="str">
        <x:v>外键有效</x:v>
      </x:c>
      <x:c r="N134" s="16" t="str">
        <x:v>端点不新增sample_component</x:v>
      </x:c>
      <x:c r="O134" s="16" t="str">
        <x:v>是</x:v>
      </x:c>
      <x:c r="P134" s="16" t="str"/>
    </x:row>
    <x:row r="135" ht="34" customHeight="1">
      <x:c r="A135" s="16" t="str">
        <x:v>M131</x:v>
      </x:c>
      <x:c r="B135" s="16" t="str">
        <x:v>data4-针阔-复配-纤维特性0110(1).xlsx</x:v>
      </x:c>
      <x:c r="C135" s="16" t="str">
        <x:v>0110</x:v>
      </x:c>
      <x:c r="D135" s="16" t="str">
        <x:v>Sheet1</x:v>
      </x:c>
      <x:c r="E135" s="22" t="n">
        <x:v>0</x:v>
      </x:c>
      <x:c r="F135" s="16" t="str">
        <x:v>〈SW组分〉</x:v>
      </x:c>
      <x:c r="G135" s="16" t="str">
        <x:v>—</x:v>
      </x:c>
      <x:c r="H135" s="16" t="str">
        <x:v>常量/查找</x:v>
      </x:c>
      <x:c r="I135" s="16" t="str">
        <x:v>sample_component</x:v>
      </x:c>
      <x:c r="J135" s="16" t="str">
        <x:v>material_id</x:v>
      </x:c>
      <x:c r="K135" s="16" t="str">
        <x:v>按material_code=SW查找</x:v>
      </x:c>
      <x:c r="L135" s="16" t="str">
        <x:v>禁止为空</x:v>
      </x:c>
      <x:c r="M135" s="16" t="str">
        <x:v>必须命中一个原料</x:v>
      </x:c>
      <x:c r="N135" s="16" t="str">
        <x:v>仅中间9点写入</x:v>
      </x:c>
      <x:c r="O135" s="16" t="str">
        <x:v>是</x:v>
      </x:c>
      <x:c r="P135" s="16" t="str"/>
    </x:row>
    <x:row r="136" ht="34" customHeight="1">
      <x:c r="A136" s="16" t="str">
        <x:v>M132</x:v>
      </x:c>
      <x:c r="B136" s="16" t="str">
        <x:v>data4-针阔-复配-纤维特性0110(1).xlsx</x:v>
      </x:c>
      <x:c r="C136" s="16" t="str">
        <x:v>0110</x:v>
      </x:c>
      <x:c r="D136" s="16" t="str">
        <x:v>Sheet1</x:v>
      </x:c>
      <x:c r="E136" s="22" t="n">
        <x:v>1</x:v>
      </x:c>
      <x:c r="F136" s="16" t="str">
        <x:v>复配编号（源表A列无表头）</x:v>
      </x:c>
      <x:c r="G136" s="16" t="str">
        <x:v>%</x:v>
      </x:c>
      <x:c r="H136" s="16" t="str">
        <x:v>派生</x:v>
      </x:c>
      <x:c r="I136" s="16" t="str">
        <x:v>sample_component</x:v>
      </x:c>
      <x:c r="J136" s="16" t="str">
        <x:v>proportion_pct</x:v>
      </x:c>
      <x:c r="K136" s="16" t="str">
        <x:v>从复配编号解析针叶木浆比例</x:v>
      </x:c>
      <x:c r="L136" s="16" t="str">
        <x:v>禁止为空</x:v>
      </x:c>
      <x:c r="M136" s="16" t="str">
        <x:v>0至100且同一样本合计100</x:v>
      </x:c>
      <x:c r="N136" s="16" t="str">
        <x:v>比例非法则整批回滚</x:v>
      </x:c>
      <x:c r="O136" s="16" t="str">
        <x:v>是</x:v>
      </x:c>
      <x:c r="P136" s="16" t="str">
        <x:v>SW组分</x:v>
      </x:c>
    </x:row>
    <x:row r="137" ht="34" customHeight="1">
      <x:c r="A137" s="16" t="str">
        <x:v>M133</x:v>
      </x:c>
      <x:c r="B137" s="16" t="str">
        <x:v>data4-针阔-复配-纤维特性0110(1).xlsx</x:v>
      </x:c>
      <x:c r="C137" s="16" t="str">
        <x:v>0110</x:v>
      </x:c>
      <x:c r="D137" s="16" t="str">
        <x:v>Sheet1</x:v>
      </x:c>
      <x:c r="E137" s="22" t="n">
        <x:v>0</x:v>
      </x:c>
      <x:c r="F137" s="16" t="str">
        <x:v>〈SW固定打浆条件〉</x:v>
      </x:c>
      <x:c r="G137" s="16" t="str">
        <x:v>r</x:v>
      </x:c>
      <x:c r="H137" s="16" t="str">
        <x:v>常量</x:v>
      </x:c>
      <x:c r="I137" s="16" t="str">
        <x:v>sample_component</x:v>
      </x:c>
      <x:c r="J137" s="16" t="str">
        <x:v>beating_revolutions</x:v>
      </x:c>
      <x:c r="K137" s="16" t="str">
        <x:v>固定写入14000</x:v>
      </x:c>
      <x:c r="L137" s="16" t="str">
        <x:v>禁止为空</x:v>
      </x:c>
      <x:c r="M137" s="16" t="str">
        <x:v>等于14000</x:v>
      </x:c>
      <x:c r="N137" s="16" t="str">
        <x:v>仅中间9点写入</x:v>
      </x:c>
      <x:c r="O137" s="16" t="str">
        <x:v>是</x:v>
      </x:c>
      <x:c r="P137" s="16" t="str"/>
    </x:row>
    <x:row r="138" ht="34" customHeight="1">
      <x:c r="A138" s="16" t="str">
        <x:v>M134</x:v>
      </x:c>
      <x:c r="B138" s="16" t="str">
        <x:v>data4-针阔-复配-纤维特性0110(1).xlsx</x:v>
      </x:c>
      <x:c r="C138" s="16" t="str">
        <x:v>0110</x:v>
      </x:c>
      <x:c r="D138" s="16" t="str">
        <x:v>Sheet1</x:v>
      </x:c>
      <x:c r="E138" s="22" t="n">
        <x:v>0</x:v>
      </x:c>
      <x:c r="F138" s="16" t="str">
        <x:v>〈SW固定打浆条件〉</x:v>
      </x:c>
      <x:c r="G138" s="16" t="str">
        <x:v>°SR</x:v>
      </x:c>
      <x:c r="H138" s="16" t="str">
        <x:v>常量</x:v>
      </x:c>
      <x:c r="I138" s="16" t="str">
        <x:v>sample_component</x:v>
      </x:c>
      <x:c r="J138" s="16" t="str">
        <x:v>beating_degree_sr</x:v>
      </x:c>
      <x:c r="K138" s="16" t="str">
        <x:v>固定写入41</x:v>
      </x:c>
      <x:c r="L138" s="16" t="str">
        <x:v>禁止为空</x:v>
      </x:c>
      <x:c r="M138" s="16" t="str">
        <x:v>等于41</x:v>
      </x:c>
      <x:c r="N138" s="16" t="str">
        <x:v>仅中间9点写入</x:v>
      </x:c>
      <x:c r="O138" s="16" t="str">
        <x:v>是</x:v>
      </x:c>
      <x:c r="P138" s="16" t="str"/>
    </x:row>
    <x:row r="139" ht="34" customHeight="1">
      <x:c r="A139" s="16" t="str">
        <x:v>M135</x:v>
      </x:c>
      <x:c r="B139" s="16" t="str">
        <x:v>data4-针阔-复配-纤维特性0110(1).xlsx</x:v>
      </x:c>
      <x:c r="C139" s="16" t="str">
        <x:v>0110</x:v>
      </x:c>
      <x:c r="D139" s="16" t="str">
        <x:v>Sheet1</x:v>
      </x:c>
      <x:c r="E139" s="22" t="n">
        <x:v>0</x:v>
      </x:c>
      <x:c r="F139" s="16" t="str">
        <x:v>〈当前来源行〉</x:v>
      </x:c>
      <x:c r="G139" s="16" t="str">
        <x:v>—</x:v>
      </x:c>
      <x:c r="H139" s="16" t="str">
        <x:v>关联</x:v>
      </x:c>
      <x:c r="I139" s="16" t="str">
        <x:v>sample_component</x:v>
      </x:c>
      <x:c r="J139" s="16" t="str">
        <x:v>source_id</x:v>
      </x:c>
      <x:c r="K139" s="16" t="str">
        <x:v>引用本行data_source.source_id</x:v>
      </x:c>
      <x:c r="L139" s="16" t="str">
        <x:v>禁止为空</x:v>
      </x:c>
      <x:c r="M139" s="16" t="str">
        <x:v>外键有效</x:v>
      </x:c>
      <x:c r="N139" s="16" t="str">
        <x:v>仅中间9点写入</x:v>
      </x:c>
      <x:c r="O139" s="16" t="str">
        <x:v>是</x:v>
      </x:c>
      <x:c r="P139" s="16" t="str">
        <x:v>SW组分</x:v>
      </x:c>
    </x:row>
    <x:row r="140" ht="34" customHeight="1">
      <x:c r="A140" s="16" t="str">
        <x:v>M136</x:v>
      </x:c>
      <x:c r="B140" s="16" t="str">
        <x:v>data4-针阔-复配-纤维特性0110(1).xlsx</x:v>
      </x:c>
      <x:c r="C140" s="16" t="str">
        <x:v>0110</x:v>
      </x:c>
      <x:c r="D140" s="16" t="str">
        <x:v>Sheet1</x:v>
      </x:c>
      <x:c r="E140" s="22" t="n">
        <x:v>1</x:v>
      </x:c>
      <x:c r="F140" s="16" t="str">
        <x:v>复配编号（源表A列无表头）</x:v>
      </x:c>
      <x:c r="G140" s="16" t="str">
        <x:v>—</x:v>
      </x:c>
      <x:c r="H140" s="16" t="str">
        <x:v>条件生成</x:v>
      </x:c>
      <x:c r="I140" s="16" t="str">
        <x:v>sample_component</x:v>
      </x:c>
      <x:c r="J140" s="16" t="str">
        <x:v>sample_id</x:v>
      </x:c>
      <x:c r="K140" s="16" t="str">
        <x:v>仅中间9点引用新建blend sample_id（HW组分）</x:v>
      </x:c>
      <x:c r="L140" s="16" t="str">
        <x:v>禁止为空</x:v>
      </x:c>
      <x:c r="M140" s="16" t="str">
        <x:v>外键有效</x:v>
      </x:c>
      <x:c r="N140" s="16" t="str">
        <x:v>端点不新增sample_component</x:v>
      </x:c>
      <x:c r="O140" s="16" t="str">
        <x:v>是</x:v>
      </x:c>
      <x:c r="P140" s="16" t="str"/>
    </x:row>
    <x:row r="141" ht="34" customHeight="1">
      <x:c r="A141" s="16" t="str">
        <x:v>M137</x:v>
      </x:c>
      <x:c r="B141" s="16" t="str">
        <x:v>data4-针阔-复配-纤维特性0110(1).xlsx</x:v>
      </x:c>
      <x:c r="C141" s="16" t="str">
        <x:v>0110</x:v>
      </x:c>
      <x:c r="D141" s="16" t="str">
        <x:v>Sheet1</x:v>
      </x:c>
      <x:c r="E141" s="22" t="n">
        <x:v>0</x:v>
      </x:c>
      <x:c r="F141" s="16" t="str">
        <x:v>〈HW组分〉</x:v>
      </x:c>
      <x:c r="G141" s="16" t="str">
        <x:v>—</x:v>
      </x:c>
      <x:c r="H141" s="16" t="str">
        <x:v>常量/查找</x:v>
      </x:c>
      <x:c r="I141" s="16" t="str">
        <x:v>sample_component</x:v>
      </x:c>
      <x:c r="J141" s="16" t="str">
        <x:v>material_id</x:v>
      </x:c>
      <x:c r="K141" s="16" t="str">
        <x:v>按material_code=HW查找</x:v>
      </x:c>
      <x:c r="L141" s="16" t="str">
        <x:v>禁止为空</x:v>
      </x:c>
      <x:c r="M141" s="16" t="str">
        <x:v>必须命中一个原料</x:v>
      </x:c>
      <x:c r="N141" s="16" t="str">
        <x:v>仅中间9点写入</x:v>
      </x:c>
      <x:c r="O141" s="16" t="str">
        <x:v>是</x:v>
      </x:c>
      <x:c r="P141" s="16" t="str"/>
    </x:row>
    <x:row r="142" ht="34" customHeight="1">
      <x:c r="A142" s="16" t="str">
        <x:v>M138</x:v>
      </x:c>
      <x:c r="B142" s="16" t="str">
        <x:v>data4-针阔-复配-纤维特性0110(1).xlsx</x:v>
      </x:c>
      <x:c r="C142" s="16" t="str">
        <x:v>0110</x:v>
      </x:c>
      <x:c r="D142" s="16" t="str">
        <x:v>Sheet1</x:v>
      </x:c>
      <x:c r="E142" s="22" t="n">
        <x:v>1</x:v>
      </x:c>
      <x:c r="F142" s="16" t="str">
        <x:v>复配编号（源表A列无表头）</x:v>
      </x:c>
      <x:c r="G142" s="16" t="str">
        <x:v>%</x:v>
      </x:c>
      <x:c r="H142" s="16" t="str">
        <x:v>派生</x:v>
      </x:c>
      <x:c r="I142" s="16" t="str">
        <x:v>sample_component</x:v>
      </x:c>
      <x:c r="J142" s="16" t="str">
        <x:v>proportion_pct</x:v>
      </x:c>
      <x:c r="K142" s="16" t="str">
        <x:v>100减去针叶木浆比例</x:v>
      </x:c>
      <x:c r="L142" s="16" t="str">
        <x:v>禁止为空</x:v>
      </x:c>
      <x:c r="M142" s="16" t="str">
        <x:v>0至100且同一样本合计100</x:v>
      </x:c>
      <x:c r="N142" s="16" t="str">
        <x:v>比例非法则整批回滚</x:v>
      </x:c>
      <x:c r="O142" s="16" t="str">
        <x:v>是</x:v>
      </x:c>
      <x:c r="P142" s="16" t="str">
        <x:v>HW组分</x:v>
      </x:c>
    </x:row>
    <x:row r="143" ht="34" customHeight="1">
      <x:c r="A143" s="16" t="str">
        <x:v>M139</x:v>
      </x:c>
      <x:c r="B143" s="16" t="str">
        <x:v>data4-针阔-复配-纤维特性0110(1).xlsx</x:v>
      </x:c>
      <x:c r="C143" s="16" t="str">
        <x:v>0110</x:v>
      </x:c>
      <x:c r="D143" s="16" t="str">
        <x:v>Sheet1</x:v>
      </x:c>
      <x:c r="E143" s="22" t="n">
        <x:v>0</x:v>
      </x:c>
      <x:c r="F143" s="16" t="str">
        <x:v>〈HW固定打浆条件〉</x:v>
      </x:c>
      <x:c r="G143" s="16" t="str">
        <x:v>r</x:v>
      </x:c>
      <x:c r="H143" s="16" t="str">
        <x:v>常量</x:v>
      </x:c>
      <x:c r="I143" s="16" t="str">
        <x:v>sample_component</x:v>
      </x:c>
      <x:c r="J143" s="16" t="str">
        <x:v>beating_revolutions</x:v>
      </x:c>
      <x:c r="K143" s="16" t="str">
        <x:v>固定写入8000</x:v>
      </x:c>
      <x:c r="L143" s="16" t="str">
        <x:v>禁止为空</x:v>
      </x:c>
      <x:c r="M143" s="16" t="str">
        <x:v>等于8000</x:v>
      </x:c>
      <x:c r="N143" s="16" t="str">
        <x:v>仅中间9点写入</x:v>
      </x:c>
      <x:c r="O143" s="16" t="str">
        <x:v>是</x:v>
      </x:c>
      <x:c r="P143" s="16" t="str"/>
    </x:row>
    <x:row r="144" ht="34" customHeight="1">
      <x:c r="A144" s="16" t="str">
        <x:v>M140</x:v>
      </x:c>
      <x:c r="B144" s="16" t="str">
        <x:v>data4-针阔-复配-纤维特性0110(1).xlsx</x:v>
      </x:c>
      <x:c r="C144" s="16" t="str">
        <x:v>0110</x:v>
      </x:c>
      <x:c r="D144" s="16" t="str">
        <x:v>Sheet1</x:v>
      </x:c>
      <x:c r="E144" s="22" t="n">
        <x:v>0</x:v>
      </x:c>
      <x:c r="F144" s="16" t="str">
        <x:v>〈HW固定打浆条件〉</x:v>
      </x:c>
      <x:c r="G144" s="16" t="str">
        <x:v>°SR</x:v>
      </x:c>
      <x:c r="H144" s="16" t="str">
        <x:v>常量</x:v>
      </x:c>
      <x:c r="I144" s="16" t="str">
        <x:v>sample_component</x:v>
      </x:c>
      <x:c r="J144" s="16" t="str">
        <x:v>beating_degree_sr</x:v>
      </x:c>
      <x:c r="K144" s="16" t="str">
        <x:v>固定写入40.6</x:v>
      </x:c>
      <x:c r="L144" s="16" t="str">
        <x:v>禁止为空</x:v>
      </x:c>
      <x:c r="M144" s="16" t="str">
        <x:v>等于40.6</x:v>
      </x:c>
      <x:c r="N144" s="16" t="str">
        <x:v>仅中间9点写入</x:v>
      </x:c>
      <x:c r="O144" s="16" t="str">
        <x:v>是</x:v>
      </x:c>
      <x:c r="P144" s="16" t="str"/>
    </x:row>
    <x:row r="145" ht="34" customHeight="1">
      <x:c r="A145" s="16" t="str">
        <x:v>M141</x:v>
      </x:c>
      <x:c r="B145" s="16" t="str">
        <x:v>data4-针阔-复配-纤维特性0110(1).xlsx</x:v>
      </x:c>
      <x:c r="C145" s="16" t="str">
        <x:v>0110</x:v>
      </x:c>
      <x:c r="D145" s="16" t="str">
        <x:v>Sheet1</x:v>
      </x:c>
      <x:c r="E145" s="22" t="n">
        <x:v>0</x:v>
      </x:c>
      <x:c r="F145" s="16" t="str">
        <x:v>〈当前来源行〉</x:v>
      </x:c>
      <x:c r="G145" s="16" t="str">
        <x:v>—</x:v>
      </x:c>
      <x:c r="H145" s="16" t="str">
        <x:v>关联</x:v>
      </x:c>
      <x:c r="I145" s="16" t="str">
        <x:v>sample_component</x:v>
      </x:c>
      <x:c r="J145" s="16" t="str">
        <x:v>source_id</x:v>
      </x:c>
      <x:c r="K145" s="16" t="str">
        <x:v>引用本行data_source.source_id</x:v>
      </x:c>
      <x:c r="L145" s="16" t="str">
        <x:v>禁止为空</x:v>
      </x:c>
      <x:c r="M145" s="16" t="str">
        <x:v>外键有效</x:v>
      </x:c>
      <x:c r="N145" s="16" t="str">
        <x:v>仅中间9点写入</x:v>
      </x:c>
      <x:c r="O145" s="16" t="str">
        <x:v>是</x:v>
      </x:c>
      <x:c r="P145" s="16" t="str">
        <x:v>HW组分</x:v>
      </x:c>
    </x:row>
    <x:row r="146" ht="34" customHeight="1">
      <x:c r="A146" s="16" t="str">
        <x:v>M142</x:v>
      </x:c>
      <x:c r="B146" s="16" t="str">
        <x:v>data4-针阔-复配-纤维特性0110(1).xlsx</x:v>
      </x:c>
      <x:c r="C146" s="16" t="str">
        <x:v>0110</x:v>
      </x:c>
      <x:c r="D146" s="16" t="str">
        <x:v>Sheet1</x:v>
      </x:c>
      <x:c r="E146" s="22" t="n">
        <x:v>2</x:v>
      </x:c>
      <x:c r="F146" s="16" t="str">
        <x:v>纤维长度/mm（算数平均）</x:v>
      </x:c>
      <x:c r="G146" s="16" t="str">
        <x:v>mm</x:v>
      </x:c>
      <x:c r="H146" s="16" t="str">
        <x:v>直接/条件</x:v>
      </x:c>
      <x:c r="I146" s="16" t="str">
        <x:v>fiber_measurement</x:v>
      </x:c>
      <x:c r="J146" s="16" t="str">
        <x:v>fiber_length_arithmetic_mm</x:v>
      </x:c>
      <x:c r="K146" s="16" t="str">
        <x:v>中间9点插入；zk010和zk100仅与已有纯浆值核对</x:v>
      </x:c>
      <x:c r="L146" s="16" t="str">
        <x:v>空白、—或/转为NULL并记录质量告警</x:v>
      </x:c>
      <x:c r="M146" s="16" t="str">
        <x:v>数值且非负</x:v>
      </x:c>
      <x:c r="N146" s="16" t="str">
        <x:v>端点不覆盖已有测量记录</x:v>
      </x:c>
      <x:c r="O146" s="16" t="str">
        <x:v>是</x:v>
      </x:c>
      <x:c r="P146" s="16" t="str"/>
    </x:row>
    <x:row r="147" ht="34" customHeight="1">
      <x:c r="A147" s="16" t="str">
        <x:v>M143</x:v>
      </x:c>
      <x:c r="B147" s="16" t="str">
        <x:v>data4-针阔-复配-纤维特性0110(1).xlsx</x:v>
      </x:c>
      <x:c r="C147" s="16" t="str">
        <x:v>0110</x:v>
      </x:c>
      <x:c r="D147" s="16" t="str">
        <x:v>Sheet1</x:v>
      </x:c>
      <x:c r="E147" s="22" t="n">
        <x:v>3</x:v>
      </x:c>
      <x:c r="F147" s="16" t="str">
        <x:v>纤维长度/mm（长度加权长）</x:v>
      </x:c>
      <x:c r="G147" s="16" t="str">
        <x:v>mm</x:v>
      </x:c>
      <x:c r="H147" s="16" t="str">
        <x:v>直接/条件</x:v>
      </x:c>
      <x:c r="I147" s="16" t="str">
        <x:v>fiber_measurement</x:v>
      </x:c>
      <x:c r="J147" s="16" t="str">
        <x:v>fiber_length_weighted_mm</x:v>
      </x:c>
      <x:c r="K147" s="16" t="str">
        <x:v>中间9点插入；zk010和zk100仅与已有纯浆值核对</x:v>
      </x:c>
      <x:c r="L147" s="16" t="str">
        <x:v>空白、—或/转为NULL并记录质量告警</x:v>
      </x:c>
      <x:c r="M147" s="16" t="str">
        <x:v>数值且非负</x:v>
      </x:c>
      <x:c r="N147" s="16" t="str">
        <x:v>端点不覆盖已有测量记录</x:v>
      </x:c>
      <x:c r="O147" s="16" t="str">
        <x:v>是</x:v>
      </x:c>
      <x:c r="P147" s="16" t="str"/>
    </x:row>
    <x:row r="148" ht="34" customHeight="1">
      <x:c r="A148" s="16" t="str">
        <x:v>M144</x:v>
      </x:c>
      <x:c r="B148" s="16" t="str">
        <x:v>data4-针阔-复配-纤维特性0110(1).xlsx</x:v>
      </x:c>
      <x:c r="C148" s="16" t="str">
        <x:v>0110</x:v>
      </x:c>
      <x:c r="D148" s="16" t="str">
        <x:v>Sheet1</x:v>
      </x:c>
      <x:c r="E148" s="22" t="n">
        <x:v>4</x:v>
      </x:c>
      <x:c r="F148" s="16" t="str">
        <x:v>宽度/μm</x:v>
      </x:c>
      <x:c r="G148" s="16" t="str">
        <x:v>μm</x:v>
      </x:c>
      <x:c r="H148" s="16" t="str">
        <x:v>直接/条件</x:v>
      </x:c>
      <x:c r="I148" s="16" t="str">
        <x:v>fiber_measurement</x:v>
      </x:c>
      <x:c r="J148" s="16" t="str">
        <x:v>fiber_width_um</x:v>
      </x:c>
      <x:c r="K148" s="16" t="str">
        <x:v>中间9点插入；zk010和zk100仅与已有纯浆值核对</x:v>
      </x:c>
      <x:c r="L148" s="16" t="str">
        <x:v>空白、—或/转为NULL并记录质量告警</x:v>
      </x:c>
      <x:c r="M148" s="16" t="str">
        <x:v>数值且非负</x:v>
      </x:c>
      <x:c r="N148" s="16" t="str">
        <x:v>端点不覆盖已有测量记录</x:v>
      </x:c>
      <x:c r="O148" s="16" t="str">
        <x:v>是</x:v>
      </x:c>
      <x:c r="P148" s="16" t="str"/>
    </x:row>
    <x:row r="149" ht="34" customHeight="1">
      <x:c r="A149" s="16" t="str">
        <x:v>M145</x:v>
      </x:c>
      <x:c r="B149" s="16" t="str">
        <x:v>data4-针阔-复配-纤维特性0110(1).xlsx</x:v>
      </x:c>
      <x:c r="C149" s="16" t="str">
        <x:v>0110</x:v>
      </x:c>
      <x:c r="D149" s="16" t="str">
        <x:v>Sheet1</x:v>
      </x:c>
      <x:c r="E149" s="22" t="n">
        <x:v>5</x:v>
      </x:c>
      <x:c r="F149" s="16" t="str">
        <x:v>粗度（mg/m）</x:v>
      </x:c>
      <x:c r="G149" s="16" t="str">
        <x:v>mg/m</x:v>
      </x:c>
      <x:c r="H149" s="16" t="str">
        <x:v>直接/条件</x:v>
      </x:c>
      <x:c r="I149" s="16" t="str">
        <x:v>fiber_measurement</x:v>
      </x:c>
      <x:c r="J149" s="16" t="str">
        <x:v>fiber_coarseness_mg_m</x:v>
      </x:c>
      <x:c r="K149" s="16" t="str">
        <x:v>中间9点插入；zk010和zk100仅与已有纯浆值核对</x:v>
      </x:c>
      <x:c r="L149" s="16" t="str">
        <x:v>空白、—或/转为NULL并记录质量告警</x:v>
      </x:c>
      <x:c r="M149" s="16" t="str">
        <x:v>数值且非负</x:v>
      </x:c>
      <x:c r="N149" s="16" t="str">
        <x:v>端点不覆盖已有测量记录</x:v>
      </x:c>
      <x:c r="O149" s="16" t="str">
        <x:v>是</x:v>
      </x:c>
      <x:c r="P149" s="16" t="str"/>
    </x:row>
    <x:row r="150" ht="34" customHeight="1">
      <x:c r="A150" s="16" t="str">
        <x:v>M146</x:v>
      </x:c>
      <x:c r="B150" s="16" t="str">
        <x:v>data4-针阔-复配-纤维特性0110(1).xlsx</x:v>
      </x:c>
      <x:c r="C150" s="16" t="str">
        <x:v>0110</x:v>
      </x:c>
      <x:c r="D150" s="16" t="str">
        <x:v>Sheet1</x:v>
      </x:c>
      <x:c r="E150" s="22" t="n">
        <x:v>6</x:v>
      </x:c>
      <x:c r="F150" s="16" t="str">
        <x:v>扭结角（°）</x:v>
      </x:c>
      <x:c r="G150" s="16" t="str">
        <x:v>°</x:v>
      </x:c>
      <x:c r="H150" s="16" t="str">
        <x:v>直接/条件</x:v>
      </x:c>
      <x:c r="I150" s="16" t="str">
        <x:v>fiber_measurement</x:v>
      </x:c>
      <x:c r="J150" s="16" t="str">
        <x:v>kink_angle_deg</x:v>
      </x:c>
      <x:c r="K150" s="16" t="str">
        <x:v>中间9点插入；zk010和zk100仅与已有纯浆值核对</x:v>
      </x:c>
      <x:c r="L150" s="16" t="str">
        <x:v>空白、—或/转为NULL并记录质量告警</x:v>
      </x:c>
      <x:c r="M150" s="16" t="str">
        <x:v>数值且非负</x:v>
      </x:c>
      <x:c r="N150" s="16" t="str">
        <x:v>端点不覆盖已有测量记录</x:v>
      </x:c>
      <x:c r="O150" s="16" t="str">
        <x:v>是</x:v>
      </x:c>
      <x:c r="P150" s="16" t="str"/>
    </x:row>
    <x:row r="151" ht="34" customHeight="1">
      <x:c r="A151" s="16" t="str">
        <x:v>M147</x:v>
      </x:c>
      <x:c r="B151" s="16" t="str">
        <x:v>data4-针阔-复配-纤维特性0110(1).xlsx</x:v>
      </x:c>
      <x:c r="C151" s="16" t="str">
        <x:v>0110</x:v>
      </x:c>
      <x:c r="D151" s="16" t="str">
        <x:v>Sheet1</x:v>
      </x:c>
      <x:c r="E151" s="22" t="n">
        <x:v>7</x:v>
      </x:c>
      <x:c r="F151" s="16" t="str">
        <x:v>扭结纤维（%）</x:v>
      </x:c>
      <x:c r="G151" s="16" t="str">
        <x:v>%</x:v>
      </x:c>
      <x:c r="H151" s="16" t="str">
        <x:v>直接/条件</x:v>
      </x:c>
      <x:c r="I151" s="16" t="str">
        <x:v>fiber_measurement</x:v>
      </x:c>
      <x:c r="J151" s="16" t="str">
        <x:v>kinked_fiber_pct</x:v>
      </x:c>
      <x:c r="K151" s="16" t="str">
        <x:v>中间9点插入；zk010和zk100仅与已有纯浆值核对</x:v>
      </x:c>
      <x:c r="L151" s="16" t="str">
        <x:v>空白、—或/转为NULL并记录质量告警</x:v>
      </x:c>
      <x:c r="M151" s="16" t="str">
        <x:v>数值且非负</x:v>
      </x:c>
      <x:c r="N151" s="16" t="str">
        <x:v>端点不覆盖已有测量记录</x:v>
      </x:c>
      <x:c r="O151" s="16" t="str">
        <x:v>是</x:v>
      </x:c>
      <x:c r="P151" s="16" t="str"/>
    </x:row>
    <x:row r="152" ht="34" customHeight="1">
      <x:c r="A152" s="16" t="str">
        <x:v>M148</x:v>
      </x:c>
      <x:c r="B152" s="16" t="str">
        <x:v>data4-针阔-复配-纤维特性0110(1).xlsx</x:v>
      </x:c>
      <x:c r="C152" s="16" t="str">
        <x:v>0110</x:v>
      </x:c>
      <x:c r="D152" s="16" t="str">
        <x:v>Sheet1</x:v>
      </x:c>
      <x:c r="E152" s="22" t="n">
        <x:v>8</x:v>
      </x:c>
      <x:c r="F152" s="16" t="str">
        <x:v>弯曲（%）</x:v>
      </x:c>
      <x:c r="G152" s="16" t="str">
        <x:v>%</x:v>
      </x:c>
      <x:c r="H152" s="16" t="str">
        <x:v>直接/条件</x:v>
      </x:c>
      <x:c r="I152" s="16" t="str">
        <x:v>fiber_measurement</x:v>
      </x:c>
      <x:c r="J152" s="16" t="str">
        <x:v>curved_fiber_pct</x:v>
      </x:c>
      <x:c r="K152" s="16" t="str">
        <x:v>中间9点插入；zk010和zk100仅与已有纯浆值核对</x:v>
      </x:c>
      <x:c r="L152" s="16" t="str">
        <x:v>空白、—或/转为NULL并记录质量告警</x:v>
      </x:c>
      <x:c r="M152" s="16" t="str">
        <x:v>数值且非负</x:v>
      </x:c>
      <x:c r="N152" s="16" t="str">
        <x:v>端点不覆盖已有测量记录</x:v>
      </x:c>
      <x:c r="O152" s="16" t="str">
        <x:v>是</x:v>
      </x:c>
      <x:c r="P152" s="16" t="str"/>
    </x:row>
    <x:row r="153" ht="34" customHeight="1">
      <x:c r="A153" s="16" t="str">
        <x:v>M149</x:v>
      </x:c>
      <x:c r="B153" s="16" t="str">
        <x:v>data4-针阔-复配-纤维特性0110(1).xlsx</x:v>
      </x:c>
      <x:c r="C153" s="16" t="str">
        <x:v>0110</x:v>
      </x:c>
      <x:c r="D153" s="16" t="str">
        <x:v>Sheet1</x:v>
      </x:c>
      <x:c r="E153" s="22" t="n">
        <x:v>9</x:v>
      </x:c>
      <x:c r="F153" s="16" t="str">
        <x:v>分丝帚化长度比（%）</x:v>
      </x:c>
      <x:c r="G153" s="16" t="str">
        <x:v>%</x:v>
      </x:c>
      <x:c r="H153" s="16" t="str">
        <x:v>直接/条件</x:v>
      </x:c>
      <x:c r="I153" s="16" t="str">
        <x:v>fiber_measurement</x:v>
      </x:c>
      <x:c r="J153" s="16" t="str">
        <x:v>fibrillation_length_pct</x:v>
      </x:c>
      <x:c r="K153" s="16" t="str">
        <x:v>中间9点插入；zk010和zk100仅与已有纯浆值核对</x:v>
      </x:c>
      <x:c r="L153" s="16" t="str">
        <x:v>空白、—或/转为NULL并记录质量告警</x:v>
      </x:c>
      <x:c r="M153" s="16" t="str">
        <x:v>数值且非负</x:v>
      </x:c>
      <x:c r="N153" s="16" t="str">
        <x:v>端点不覆盖已有测量记录</x:v>
      </x:c>
      <x:c r="O153" s="16" t="str">
        <x:v>是</x:v>
      </x:c>
      <x:c r="P153" s="16" t="str"/>
    </x:row>
    <x:row r="154" ht="34" customHeight="1">
      <x:c r="A154" s="16" t="str">
        <x:v>M150</x:v>
      </x:c>
      <x:c r="B154" s="16" t="str">
        <x:v>data4-针阔-复配-纤维特性0110(1).xlsx</x:v>
      </x:c>
      <x:c r="C154" s="16" t="str">
        <x:v>0110</x:v>
      </x:c>
      <x:c r="D154" s="16" t="str">
        <x:v>Sheet1</x:v>
      </x:c>
      <x:c r="E154" s="22" t="n">
        <x:v>10</x:v>
      </x:c>
      <x:c r="F154" s="16" t="str">
        <x:v>折断纤维比（%）</x:v>
      </x:c>
      <x:c r="G154" s="16" t="str">
        <x:v>%</x:v>
      </x:c>
      <x:c r="H154" s="16" t="str">
        <x:v>直接/条件</x:v>
      </x:c>
      <x:c r="I154" s="16" t="str">
        <x:v>fiber_measurement</x:v>
      </x:c>
      <x:c r="J154" s="16" t="str">
        <x:v>broken_fiber_pct</x:v>
      </x:c>
      <x:c r="K154" s="16" t="str">
        <x:v>中间9点插入；zk010和zk100仅与已有纯浆值核对</x:v>
      </x:c>
      <x:c r="L154" s="16" t="str">
        <x:v>空白、—或/转为NULL并记录质量告警</x:v>
      </x:c>
      <x:c r="M154" s="16" t="str">
        <x:v>数值且非负</x:v>
      </x:c>
      <x:c r="N154" s="16" t="str">
        <x:v>端点不覆盖已有测量记录</x:v>
      </x:c>
      <x:c r="O154" s="16" t="str">
        <x:v>是</x:v>
      </x:c>
      <x:c r="P154" s="16" t="str"/>
    </x:row>
    <x:row r="155" ht="34" customHeight="1">
      <x:c r="A155" s="16" t="str">
        <x:v>M151</x:v>
      </x:c>
      <x:c r="B155" s="16" t="str">
        <x:v>data4-针阔-复配-纤维特性0110(1).xlsx</x:v>
      </x:c>
      <x:c r="C155" s="16" t="str">
        <x:v>0110</x:v>
      </x:c>
      <x:c r="D155" s="16" t="str">
        <x:v>Sheet1</x:v>
      </x:c>
      <x:c r="E155" s="22" t="n">
        <x:v>11</x:v>
      </x:c>
      <x:c r="F155" s="16" t="str">
        <x:v>细小纤维（长度比%）</x:v>
      </x:c>
      <x:c r="G155" s="16" t="str">
        <x:v>%</x:v>
      </x:c>
      <x:c r="H155" s="16" t="str">
        <x:v>直接/条件</x:v>
      </x:c>
      <x:c r="I155" s="16" t="str">
        <x:v>fiber_measurement</x:v>
      </x:c>
      <x:c r="J155" s="16" t="str">
        <x:v>fines_length_pct</x:v>
      </x:c>
      <x:c r="K155" s="16" t="str">
        <x:v>中间9点插入；zk010和zk100仅与已有纯浆值核对</x:v>
      </x:c>
      <x:c r="L155" s="16" t="str">
        <x:v>空白、—或/转为NULL并记录质量告警</x:v>
      </x:c>
      <x:c r="M155" s="16" t="str">
        <x:v>数值且非负</x:v>
      </x:c>
      <x:c r="N155" s="16" t="str">
        <x:v>端点不覆盖已有测量记录</x:v>
      </x:c>
      <x:c r="O155" s="16" t="str">
        <x:v>是</x:v>
      </x:c>
      <x:c r="P155" s="16" t="str"/>
    </x:row>
    <x:row r="156" ht="34" customHeight="1">
      <x:c r="A156" s="16" t="str">
        <x:v>M152</x:v>
      </x:c>
      <x:c r="B156" s="16" t="str">
        <x:v>data4-针阔-复配-纤维特性0110(1).xlsx</x:v>
      </x:c>
      <x:c r="C156" s="16" t="str">
        <x:v>0110</x:v>
      </x:c>
      <x:c r="D156" s="16" t="str">
        <x:v>Sheet1</x:v>
      </x:c>
      <x:c r="E156" s="22" t="n">
        <x:v>12</x:v>
      </x:c>
      <x:c r="F156" s="16" t="str">
        <x:v>细小纤维（长度加权比%）</x:v>
      </x:c>
      <x:c r="G156" s="16" t="str">
        <x:v>%</x:v>
      </x:c>
      <x:c r="H156" s="16" t="str">
        <x:v>直接/条件</x:v>
      </x:c>
      <x:c r="I156" s="16" t="str">
        <x:v>fiber_measurement</x:v>
      </x:c>
      <x:c r="J156" s="16" t="str">
        <x:v>fines_weighted_length_pct</x:v>
      </x:c>
      <x:c r="K156" s="16" t="str">
        <x:v>中间9点插入；zk010和zk100仅与已有纯浆值核对</x:v>
      </x:c>
      <x:c r="L156" s="16" t="str">
        <x:v>空白、—或/转为NULL并记录质量告警</x:v>
      </x:c>
      <x:c r="M156" s="16" t="str">
        <x:v>数值且非负</x:v>
      </x:c>
      <x:c r="N156" s="16" t="str">
        <x:v>端点不覆盖已有测量记录</x:v>
      </x:c>
      <x:c r="O156" s="16" t="str">
        <x:v>是</x:v>
      </x:c>
      <x:c r="P156" s="16" t="str"/>
    </x:row>
    <x:row r="157" ht="34" customHeight="1">
      <x:c r="A157" s="16" t="str">
        <x:v>M153</x:v>
      </x:c>
      <x:c r="B157" s="16" t="str">
        <x:v>data4-针阔-复配-纤维特性0110(1).xlsx</x:v>
      </x:c>
      <x:c r="C157" s="16" t="str">
        <x:v>0110</x:v>
      </x:c>
      <x:c r="D157" s="16" t="str">
        <x:v>Sheet1</x:v>
      </x:c>
      <x:c r="E157" s="22" t="n">
        <x:v>13</x:v>
      </x:c>
      <x:c r="F157" s="16" t="str">
        <x:v>细小纤维面积比（%）</x:v>
      </x:c>
      <x:c r="G157" s="16" t="str">
        <x:v>%</x:v>
      </x:c>
      <x:c r="H157" s="16" t="str">
        <x:v>直接/条件</x:v>
      </x:c>
      <x:c r="I157" s="16" t="str">
        <x:v>fiber_measurement</x:v>
      </x:c>
      <x:c r="J157" s="16" t="str">
        <x:v>fines_area_pct</x:v>
      </x:c>
      <x:c r="K157" s="16" t="str">
        <x:v>中间9点插入；zk010和zk100仅与已有纯浆值核对</x:v>
      </x:c>
      <x:c r="L157" s="16" t="str">
        <x:v>空白、—或/转为NULL并记录质量告警</x:v>
      </x:c>
      <x:c r="M157" s="16" t="str">
        <x:v>数值且非负</x:v>
      </x:c>
      <x:c r="N157" s="16" t="str">
        <x:v>端点不覆盖已有测量记录</x:v>
      </x:c>
      <x:c r="O157" s="16" t="str">
        <x:v>是</x:v>
      </x:c>
      <x:c r="P157" s="16" t="str"/>
    </x:row>
    <x:row r="158" ht="34" customHeight="1">
      <x:c r="A158" s="16" t="str">
        <x:v>M154</x:v>
      </x:c>
      <x:c r="B158" s="16" t="str">
        <x:v>data4-针阔-复配-纤维特性0110(1).xlsx</x:v>
      </x:c>
      <x:c r="C158" s="16" t="str">
        <x:v>0110</x:v>
      </x:c>
      <x:c r="D158" s="16" t="str">
        <x:v>Sheet1</x:v>
      </x:c>
      <x:c r="E158" s="22" t="n">
        <x:v>1</x:v>
      </x:c>
      <x:c r="F158" s="16" t="str">
        <x:v>复配编号（源表A列无表头）</x:v>
      </x:c>
      <x:c r="G158" s="16" t="str">
        <x:v>—</x:v>
      </x:c>
      <x:c r="H158" s="16" t="str">
        <x:v>查找/条件</x:v>
      </x:c>
      <x:c r="I158" s="16" t="str">
        <x:v>fiber_measurement</x:v>
      </x:c>
      <x:c r="J158" s="16" t="str">
        <x:v>sample_id</x:v>
      </x:c>
      <x:c r="K158" s="16" t="str">
        <x:v>按复配代码定位sample_id；仅中间9点执行插入</x:v>
      </x:c>
      <x:c r="L158" s="16" t="str">
        <x:v>禁止为空</x:v>
      </x:c>
      <x:c r="M158" s="16" t="str">
        <x:v>必须唯一命中</x:v>
      </x:c>
      <x:c r="N158" s="16" t="str">
        <x:v>端点只执行一致性核对</x:v>
      </x:c>
      <x:c r="O158" s="16" t="str">
        <x:v>是</x:v>
      </x:c>
      <x:c r="P158" s="16" t="str"/>
    </x:row>
    <x:row r="159" ht="34" customHeight="1">
      <x:c r="A159" s="16" t="str">
        <x:v>M155</x:v>
      </x:c>
      <x:c r="B159" s="16" t="str">
        <x:v>data4-针阔-复配-纤维特性0110(1).xlsx</x:v>
      </x:c>
      <x:c r="C159" s="16" t="str">
        <x:v>0110</x:v>
      </x:c>
      <x:c r="D159" s="16" t="str">
        <x:v>Sheet1</x:v>
      </x:c>
      <x:c r="E159" s="22" t="n">
        <x:v>0</x:v>
      </x:c>
      <x:c r="F159" s="16" t="str">
        <x:v>〈当前来源行〉</x:v>
      </x:c>
      <x:c r="G159" s="16" t="str">
        <x:v>—</x:v>
      </x:c>
      <x:c r="H159" s="16" t="str">
        <x:v>关联</x:v>
      </x:c>
      <x:c r="I159" s="16" t="str">
        <x:v>fiber_measurement</x:v>
      </x:c>
      <x:c r="J159" s="16" t="str">
        <x:v>source_id</x:v>
      </x:c>
      <x:c r="K159" s="16" t="str">
        <x:v>引用本行data_source.source_id</x:v>
      </x:c>
      <x:c r="L159" s="16" t="str">
        <x:v>禁止为空</x:v>
      </x:c>
      <x:c r="M159" s="16" t="str">
        <x:v>外键有效</x:v>
      </x:c>
      <x:c r="N159" s="16" t="str">
        <x:v>仅中间9点写入测量表</x:v>
      </x:c>
      <x:c r="O159" s="16" t="str">
        <x:v>是</x:v>
      </x:c>
      <x:c r="P159" s="16" t="str"/>
    </x:row>
    <x:row r="160" ht="34" customHeight="1">
      <x:c r="A160" s="16" t="str">
        <x:v>M156</x:v>
      </x:c>
      <x:c r="B160" s="16" t="str">
        <x:v>data5-针阔-复配-纸张特性0110(1).xlsx</x:v>
      </x:c>
      <x:c r="C160" s="16" t="str">
        <x:v>0110</x:v>
      </x:c>
      <x:c r="D160" s="16" t="str">
        <x:v>Sheet1</x:v>
      </x:c>
      <x:c r="E160" s="22" t="n">
        <x:v>0</x:v>
      </x:c>
      <x:c r="F160" s="16" t="str">
        <x:v>〈文件名〉</x:v>
      </x:c>
      <x:c r="G160" s="16" t="str">
        <x:v>—</x:v>
      </x:c>
      <x:c r="H160" s="16" t="str">
        <x:v>来源元数据</x:v>
      </x:c>
      <x:c r="I160" s="16" t="str">
        <x:v>data_source</x:v>
      </x:c>
      <x:c r="J160" s="16" t="str">
        <x:v>file_name</x:v>
      </x:c>
      <x:c r="K160" s="16" t="str">
        <x:v>写入当前原始文件名</x:v>
      </x:c>
      <x:c r="L160" s="16" t="str">
        <x:v>禁止为空</x:v>
      </x:c>
      <x:c r="M160" s="16" t="str">
        <x:v>必须在正式来源白名单中</x:v>
      </x:c>
      <x:c r="N160" s="16" t="str">
        <x:v>旧复配版或汇总文件立即终止该批</x:v>
      </x:c>
      <x:c r="O160" s="16" t="str">
        <x:v>是</x:v>
      </x:c>
      <x:c r="P160" s="16" t="str"/>
    </x:row>
    <x:row r="161" ht="34" customHeight="1">
      <x:c r="A161" s="16" t="str">
        <x:v>M157</x:v>
      </x:c>
      <x:c r="B161" s="16" t="str">
        <x:v>data5-针阔-复配-纸张特性0110(1).xlsx</x:v>
      </x:c>
      <x:c r="C161" s="16" t="str">
        <x:v>0110</x:v>
      </x:c>
      <x:c r="D161" s="16" t="str">
        <x:v>Sheet1</x:v>
      </x:c>
      <x:c r="E161" s="22" t="n">
        <x:v>0</x:v>
      </x:c>
      <x:c r="F161" s="16" t="str">
        <x:v>〈工作表名〉</x:v>
      </x:c>
      <x:c r="G161" s="16" t="str">
        <x:v>—</x:v>
      </x:c>
      <x:c r="H161" s="16" t="str">
        <x:v>来源元数据</x:v>
      </x:c>
      <x:c r="I161" s="16" t="str">
        <x:v>data_source</x:v>
      </x:c>
      <x:c r="J161" s="16" t="str">
        <x:v>sheet_name</x:v>
      </x:c>
      <x:c r="K161" s="16" t="str">
        <x:v>固定写入Sheet1</x:v>
      </x:c>
      <x:c r="L161" s="16" t="str">
        <x:v>禁止为空</x:v>
      </x:c>
      <x:c r="M161" s="16" t="str">
        <x:v>仅允许有效工作表Sheet1</x:v>
      </x:c>
      <x:c r="N161" s="16" t="str">
        <x:v>空白Sheet2/Sheet3不处理</x:v>
      </x:c>
      <x:c r="O161" s="16" t="str">
        <x:v>是</x:v>
      </x:c>
      <x:c r="P161" s="16" t="str"/>
    </x:row>
    <x:row r="162" ht="34" customHeight="1">
      <x:c r="A162" s="16" t="str">
        <x:v>M158</x:v>
      </x:c>
      <x:c r="B162" s="16" t="str">
        <x:v>data5-针阔-复配-纸张特性0110(1).xlsx</x:v>
      </x:c>
      <x:c r="C162" s="16" t="str">
        <x:v>0110</x:v>
      </x:c>
      <x:c r="D162" s="16" t="str">
        <x:v>Sheet1</x:v>
      </x:c>
      <x:c r="E162" s="22" t="n">
        <x:v>0</x:v>
      </x:c>
      <x:c r="F162" s="16" t="str">
        <x:v>〈Excel行号〉</x:v>
      </x:c>
      <x:c r="G162" s="16" t="str">
        <x:v>行</x:v>
      </x:c>
      <x:c r="H162" s="16" t="str">
        <x:v>系统生成</x:v>
      </x:c>
      <x:c r="I162" s="16" t="str">
        <x:v>data_source</x:v>
      </x:c>
      <x:c r="J162" s="16" t="str">
        <x:v>source_row</x:v>
      </x:c>
      <x:c r="K162" s="16" t="str">
        <x:v>写入原始数据所在Excel实际行号</x:v>
      </x:c>
      <x:c r="L162" s="16" t="str">
        <x:v>禁止为空</x:v>
      </x:c>
      <x:c r="M162" s="16" t="str">
        <x:v>&gt;=2且为整数</x:v>
      </x:c>
      <x:c r="N162" s="16" t="str">
        <x:v>同文件、工作表、行号不得重复</x:v>
      </x:c>
      <x:c r="O162" s="16" t="str">
        <x:v>是</x:v>
      </x:c>
      <x:c r="P162" s="16" t="str"/>
    </x:row>
    <x:row r="163" ht="34" customHeight="1">
      <x:c r="A163" s="16" t="str">
        <x:v>M159</x:v>
      </x:c>
      <x:c r="B163" s="16" t="str">
        <x:v>data5-针阔-复配-纸张特性0110(1).xlsx</x:v>
      </x:c>
      <x:c r="C163" s="16" t="str">
        <x:v>0110</x:v>
      </x:c>
      <x:c r="D163" s="16" t="str">
        <x:v>Sheet1</x:v>
      </x:c>
      <x:c r="E163" s="22" t="n">
        <x:v>0</x:v>
      </x:c>
      <x:c r="F163" s="16" t="str">
        <x:v>〈来源版本〉</x:v>
      </x:c>
      <x:c r="G163" s="16" t="str">
        <x:v>—</x:v>
      </x:c>
      <x:c r="H163" s="16" t="str">
        <x:v>文件上下文</x:v>
      </x:c>
      <x:c r="I163" s="16" t="str">
        <x:v>data_source</x:v>
      </x:c>
      <x:c r="J163" s="16" t="str">
        <x:v>source_version</x:v>
      </x:c>
      <x:c r="K163" s="16" t="str">
        <x:v>固定写入0110</x:v>
      </x:c>
      <x:c r="L163" s="16" t="str">
        <x:v>禁止为空</x:v>
      </x:c>
      <x:c r="M163" s="16" t="str">
        <x:v>复配文件必须为0110</x:v>
      </x:c>
      <x:c r="N163" s="16" t="str">
        <x:v>旧版不得覆盖0110</x:v>
      </x:c>
      <x:c r="O163" s="16" t="str">
        <x:v>是</x:v>
      </x:c>
      <x:c r="P163" s="16" t="str"/>
    </x:row>
    <x:row r="164" ht="34" customHeight="1">
      <x:c r="A164" s="16" t="str">
        <x:v>M160</x:v>
      </x:c>
      <x:c r="B164" s="16" t="str">
        <x:v>data5-针阔-复配-纸张特性0110(1).xlsx</x:v>
      </x:c>
      <x:c r="C164" s="16" t="str">
        <x:v>0110</x:v>
      </x:c>
      <x:c r="D164" s="16" t="str">
        <x:v>Sheet1</x:v>
      </x:c>
      <x:c r="E164" s="22" t="n">
        <x:v>0</x:v>
      </x:c>
      <x:c r="F164" s="16" t="str">
        <x:v>〈导入时间〉</x:v>
      </x:c>
      <x:c r="G164" s="16" t="str">
        <x:v>—</x:v>
      </x:c>
      <x:c r="H164" s="16" t="str">
        <x:v>系统生成</x:v>
      </x:c>
      <x:c r="I164" s="16" t="str">
        <x:v>data_source</x:v>
      </x:c>
      <x:c r="J164" s="16" t="str">
        <x:v>imported_at</x:v>
      </x:c>
      <x:c r="K164" s="16" t="str">
        <x:v>由PostgreSQL CURRENT_TIMESTAMP生成</x:v>
      </x:c>
      <x:c r="L164" s="16" t="str">
        <x:v>禁止为空</x:v>
      </x:c>
      <x:c r="M164" s="16" t="str">
        <x:v>TIMESTAMPTZ有效值</x:v>
      </x:c>
      <x:c r="N164" s="16" t="str">
        <x:v>不从Excel读取</x:v>
      </x:c>
      <x:c r="O164" s="16" t="str">
        <x:v>是</x:v>
      </x:c>
      <x:c r="P164" s="16" t="str"/>
    </x:row>
    <x:row r="165" ht="34" customHeight="1">
      <x:c r="A165" s="16" t="str">
        <x:v>M161</x:v>
      </x:c>
      <x:c r="B165" s="16" t="str">
        <x:v>data5-针阔-复配-纸张特性0110(1).xlsx</x:v>
      </x:c>
      <x:c r="C165" s="16" t="str">
        <x:v>0110</x:v>
      </x:c>
      <x:c r="D165" s="16" t="str">
        <x:v>Sheet1</x:v>
      </x:c>
      <x:c r="E165" s="22" t="n">
        <x:v>1</x:v>
      </x:c>
      <x:c r="F165" s="16" t="str">
        <x:v>复配编号（源表A列无表头）</x:v>
      </x:c>
      <x:c r="G165" s="16" t="str">
        <x:v>—</x:v>
      </x:c>
      <x:c r="H165" s="16" t="str">
        <x:v>关联键</x:v>
      </x:c>
      <x:c r="I165" s="16" t="str">
        <x:v>paper_measurement</x:v>
      </x:c>
      <x:c r="J165" s="16" t="str">
        <x:v>sample_id</x:v>
      </x:c>
      <x:c r="K165" s="16" t="str">
        <x:v>按zk代码定位与复配纤维文件一致的sample_id</x:v>
      </x:c>
      <x:c r="L165" s="16" t="str">
        <x:v>禁止为空</x:v>
      </x:c>
      <x:c r="M165" s="16" t="str">
        <x:v>必须唯一命中</x:v>
      </x:c>
      <x:c r="N165" s="16" t="str">
        <x:v>不得从纸张文件新建样本</x:v>
      </x:c>
      <x:c r="O165" s="16" t="str">
        <x:v>是</x:v>
      </x:c>
      <x:c r="P165" s="16" t="str"/>
    </x:row>
    <x:row r="166" ht="34" customHeight="1">
      <x:c r="A166" s="16" t="str">
        <x:v>M162</x:v>
      </x:c>
      <x:c r="B166" s="16" t="str">
        <x:v>data5-针阔-复配-纸张特性0110(1).xlsx</x:v>
      </x:c>
      <x:c r="C166" s="16" t="str">
        <x:v>0110</x:v>
      </x:c>
      <x:c r="D166" s="16" t="str">
        <x:v>Sheet1</x:v>
      </x:c>
      <x:c r="E166" s="22" t="n">
        <x:v>2</x:v>
      </x:c>
      <x:c r="F166" s="16" t="str">
        <x:v>定量(g/m2)</x:v>
      </x:c>
      <x:c r="G166" s="16" t="str">
        <x:v>g/m²</x:v>
      </x:c>
      <x:c r="H166" s="16" t="str">
        <x:v>直接/条件</x:v>
      </x:c>
      <x:c r="I166" s="16" t="str">
        <x:v>paper_measurement</x:v>
      </x:c>
      <x:c r="J166" s="16" t="str">
        <x:v>basis_weight_g_m2</x:v>
      </x:c>
      <x:c r="K166" s="16" t="str">
        <x:v>中间9点插入；zk010和zk100仅与已有纯浆值核对</x:v>
      </x:c>
      <x:c r="L166" s="16" t="str">
        <x:v>空白、—或/转为NULL并记录质量告警</x:v>
      </x:c>
      <x:c r="M166" s="16" t="str">
        <x:v>数值且非负</x:v>
      </x:c>
      <x:c r="N166" s="16" t="str">
        <x:v>端点不覆盖已有测量记录</x:v>
      </x:c>
      <x:c r="O166" s="16" t="str">
        <x:v>是</x:v>
      </x:c>
      <x:c r="P166" s="16" t="str"/>
    </x:row>
    <x:row r="167" ht="34" customHeight="1">
      <x:c r="A167" s="16" t="str">
        <x:v>M163</x:v>
      </x:c>
      <x:c r="B167" s="16" t="str">
        <x:v>data5-针阔-复配-纸张特性0110(1).xlsx</x:v>
      </x:c>
      <x:c r="C167" s="16" t="str">
        <x:v>0110</x:v>
      </x:c>
      <x:c r="D167" s="16" t="str">
        <x:v>Sheet1</x:v>
      </x:c>
      <x:c r="E167" s="22" t="n">
        <x:v>3</x:v>
      </x:c>
      <x:c r="F167" s="16" t="str">
        <x:v>厚度(μm)</x:v>
      </x:c>
      <x:c r="G167" s="16" t="str">
        <x:v>μm</x:v>
      </x:c>
      <x:c r="H167" s="16" t="str">
        <x:v>直接/条件</x:v>
      </x:c>
      <x:c r="I167" s="16" t="str">
        <x:v>paper_measurement</x:v>
      </x:c>
      <x:c r="J167" s="16" t="str">
        <x:v>thickness_um</x:v>
      </x:c>
      <x:c r="K167" s="16" t="str">
        <x:v>中间9点插入；zk010和zk100仅与已有纯浆值核对</x:v>
      </x:c>
      <x:c r="L167" s="16" t="str">
        <x:v>空白、—或/转为NULL并记录质量告警</x:v>
      </x:c>
      <x:c r="M167" s="16" t="str">
        <x:v>数值且非负</x:v>
      </x:c>
      <x:c r="N167" s="16" t="str">
        <x:v>端点不覆盖已有测量记录</x:v>
      </x:c>
      <x:c r="O167" s="16" t="str">
        <x:v>是</x:v>
      </x:c>
      <x:c r="P167" s="16" t="str"/>
    </x:row>
    <x:row r="168" ht="34" customHeight="1">
      <x:c r="A168" s="16" t="str">
        <x:v>M164</x:v>
      </x:c>
      <x:c r="B168" s="16" t="str">
        <x:v>data5-针阔-复配-纸张特性0110(1).xlsx</x:v>
      </x:c>
      <x:c r="C168" s="16" t="str">
        <x:v>0110</x:v>
      </x:c>
      <x:c r="D168" s="16" t="str">
        <x:v>Sheet1</x:v>
      </x:c>
      <x:c r="E168" s="22" t="n">
        <x:v>4</x:v>
      </x:c>
      <x:c r="F168" s="16" t="str">
        <x:v>耐破指数(kPa·m2·g-1)</x:v>
      </x:c>
      <x:c r="G168" s="16" t="str">
        <x:v>kPa·m²/g</x:v>
      </x:c>
      <x:c r="H168" s="16" t="str">
        <x:v>直接/条件</x:v>
      </x:c>
      <x:c r="I168" s="16" t="str">
        <x:v>paper_measurement</x:v>
      </x:c>
      <x:c r="J168" s="16" t="str">
        <x:v>burst_index</x:v>
      </x:c>
      <x:c r="K168" s="16" t="str">
        <x:v>中间9点插入；zk010和zk100仅与已有纯浆值核对</x:v>
      </x:c>
      <x:c r="L168" s="16" t="str">
        <x:v>空白、—或/转为NULL并记录质量告警</x:v>
      </x:c>
      <x:c r="M168" s="16" t="str">
        <x:v>数值且非负</x:v>
      </x:c>
      <x:c r="N168" s="16" t="str">
        <x:v>端点不覆盖已有测量记录</x:v>
      </x:c>
      <x:c r="O168" s="16" t="str">
        <x:v>是</x:v>
      </x:c>
      <x:c r="P168" s="16" t="str"/>
    </x:row>
    <x:row r="169" ht="34" customHeight="1">
      <x:c r="A169" s="16" t="str">
        <x:v>M165</x:v>
      </x:c>
      <x:c r="B169" s="16" t="str">
        <x:v>data5-针阔-复配-纸张特性0110(1).xlsx</x:v>
      </x:c>
      <x:c r="C169" s="16" t="str">
        <x:v>0110</x:v>
      </x:c>
      <x:c r="D169" s="16" t="str">
        <x:v>Sheet1</x:v>
      </x:c>
      <x:c r="E169" s="22" t="n">
        <x:v>5</x:v>
      </x:c>
      <x:c r="F169" s="16" t="str">
        <x:v>撕裂指数(mN·m2·g-1)</x:v>
      </x:c>
      <x:c r="G169" s="16" t="str">
        <x:v>mN·m²/g</x:v>
      </x:c>
      <x:c r="H169" s="16" t="str">
        <x:v>直接/条件</x:v>
      </x:c>
      <x:c r="I169" s="16" t="str">
        <x:v>paper_measurement</x:v>
      </x:c>
      <x:c r="J169" s="16" t="str">
        <x:v>tear_index</x:v>
      </x:c>
      <x:c r="K169" s="16" t="str">
        <x:v>中间9点插入；zk010和zk100仅与已有纯浆值核对</x:v>
      </x:c>
      <x:c r="L169" s="16" t="str">
        <x:v>空白、—或/转为NULL并记录质量告警</x:v>
      </x:c>
      <x:c r="M169" s="16" t="str">
        <x:v>数值且非负</x:v>
      </x:c>
      <x:c r="N169" s="16" t="str">
        <x:v>端点不覆盖已有测量记录</x:v>
      </x:c>
      <x:c r="O169" s="16" t="str">
        <x:v>是</x:v>
      </x:c>
      <x:c r="P169" s="16" t="str"/>
    </x:row>
    <x:row r="170" ht="34" customHeight="1">
      <x:c r="A170" s="16" t="str">
        <x:v>M166</x:v>
      </x:c>
      <x:c r="B170" s="16" t="str">
        <x:v>data5-针阔-复配-纸张特性0110(1).xlsx</x:v>
      </x:c>
      <x:c r="C170" s="16" t="str">
        <x:v>0110</x:v>
      </x:c>
      <x:c r="D170" s="16" t="str">
        <x:v>Sheet1</x:v>
      </x:c>
      <x:c r="E170" s="22" t="n">
        <x:v>6</x:v>
      </x:c>
      <x:c r="F170" s="16" t="str">
        <x:v>抗张指数(N·m·g-1)</x:v>
      </x:c>
      <x:c r="G170" s="16" t="str">
        <x:v>N·m/g</x:v>
      </x:c>
      <x:c r="H170" s="16" t="str">
        <x:v>直接/条件</x:v>
      </x:c>
      <x:c r="I170" s="16" t="str">
        <x:v>paper_measurement</x:v>
      </x:c>
      <x:c r="J170" s="16" t="str">
        <x:v>tensile_index</x:v>
      </x:c>
      <x:c r="K170" s="16" t="str">
        <x:v>中间9点插入；zk010和zk100仅与已有纯浆值核对</x:v>
      </x:c>
      <x:c r="L170" s="16" t="str">
        <x:v>空白、—或/转为NULL并记录质量告警</x:v>
      </x:c>
      <x:c r="M170" s="16" t="str">
        <x:v>数值且非负</x:v>
      </x:c>
      <x:c r="N170" s="16" t="str">
        <x:v>端点不覆盖已有测量记录</x:v>
      </x:c>
      <x:c r="O170" s="16" t="str">
        <x:v>是</x:v>
      </x:c>
      <x:c r="P170" s="16" t="str"/>
    </x:row>
    <x:row r="171" ht="34" customHeight="1">
      <x:c r="A171" s="16" t="str">
        <x:v>M167</x:v>
      </x:c>
      <x:c r="B171" s="16" t="str">
        <x:v>data5-针阔-复配-纸张特性0110(1).xlsx</x:v>
      </x:c>
      <x:c r="C171" s="16" t="str">
        <x:v>0110</x:v>
      </x:c>
      <x:c r="D171" s="16" t="str">
        <x:v>Sheet1</x:v>
      </x:c>
      <x:c r="E171" s="22" t="n">
        <x:v>7</x:v>
      </x:c>
      <x:c r="F171" s="16" t="str">
        <x:v>零距抗张强度(N/cm)</x:v>
      </x:c>
      <x:c r="G171" s="16" t="str">
        <x:v>N/cm</x:v>
      </x:c>
      <x:c r="H171" s="16" t="str">
        <x:v>直接/条件</x:v>
      </x:c>
      <x:c r="I171" s="16" t="str">
        <x:v>paper_measurement</x:v>
      </x:c>
      <x:c r="J171" s="16" t="str">
        <x:v>zero_span_tensile</x:v>
      </x:c>
      <x:c r="K171" s="16" t="str">
        <x:v>中间9点插入；zk010和zk100仅与已有纯浆值核对</x:v>
      </x:c>
      <x:c r="L171" s="16" t="str">
        <x:v>空白、—或/转为NULL并记录质量告警</x:v>
      </x:c>
      <x:c r="M171" s="16" t="str">
        <x:v>数值且非负</x:v>
      </x:c>
      <x:c r="N171" s="16" t="str">
        <x:v>端点不覆盖已有测量记录</x:v>
      </x:c>
      <x:c r="O171" s="16" t="str">
        <x:v>是</x:v>
      </x:c>
      <x:c r="P171" s="16" t="str"/>
    </x:row>
    <x:row r="172" ht="34" customHeight="1">
      <x:c r="A172" s="16" t="str">
        <x:v>M168</x:v>
      </x:c>
      <x:c r="B172" s="16" t="str">
        <x:v>data5-针阔-复配-纸张特性0110(1).xlsx</x:v>
      </x:c>
      <x:c r="C172" s="16" t="str">
        <x:v>0110</x:v>
      </x:c>
      <x:c r="D172" s="16" t="str">
        <x:v>Sheet1</x:v>
      </x:c>
      <x:c r="E172" s="22" t="n">
        <x:v>8</x:v>
      </x:c>
      <x:c r="F172" s="16" t="str">
        <x:v>表面粗糙度(ml/min)</x:v>
      </x:c>
      <x:c r="G172" s="16" t="str">
        <x:v>ml/min</x:v>
      </x:c>
      <x:c r="H172" s="16" t="str">
        <x:v>直接/条件</x:v>
      </x:c>
      <x:c r="I172" s="16" t="str">
        <x:v>paper_measurement</x:v>
      </x:c>
      <x:c r="J172" s="16" t="str">
        <x:v>surface_roughness</x:v>
      </x:c>
      <x:c r="K172" s="16" t="str">
        <x:v>中间9点插入；zk010和zk100仅与已有纯浆值核对</x:v>
      </x:c>
      <x:c r="L172" s="16" t="str">
        <x:v>空白、—或/转为NULL并记录质量告警</x:v>
      </x:c>
      <x:c r="M172" s="16" t="str">
        <x:v>数值且非负</x:v>
      </x:c>
      <x:c r="N172" s="16" t="str">
        <x:v>端点不覆盖已有测量记录</x:v>
      </x:c>
      <x:c r="O172" s="16" t="str">
        <x:v>是</x:v>
      </x:c>
      <x:c r="P172" s="16" t="str"/>
    </x:row>
    <x:row r="173" ht="34" customHeight="1">
      <x:c r="A173" s="16" t="str">
        <x:v>M169</x:v>
      </x:c>
      <x:c r="B173" s="16" t="str">
        <x:v>data5-针阔-复配-纸张特性0110(1).xlsx</x:v>
      </x:c>
      <x:c r="C173" s="16" t="str">
        <x:v>0110</x:v>
      </x:c>
      <x:c r="D173" s="16" t="str">
        <x:v>Sheet1</x:v>
      </x:c>
      <x:c r="E173" s="22" t="n">
        <x:v>9</x:v>
      </x:c>
      <x:c r="F173" s="16" t="str">
        <x:v>透气度</x:v>
      </x:c>
      <x:c r="G173" s="16" t="str">
        <x:v>源表未标注；设计暂定μm/(Pa·s)</x:v>
      </x:c>
      <x:c r="H173" s="16" t="str">
        <x:v>直接/条件</x:v>
      </x:c>
      <x:c r="I173" s="16" t="str">
        <x:v>paper_measurement</x:v>
      </x:c>
      <x:c r="J173" s="16" t="str">
        <x:v>air_permeability</x:v>
      </x:c>
      <x:c r="K173" s="16" t="str">
        <x:v>中间9点插入；zk010和zk100仅与已有纯浆值核对</x:v>
      </x:c>
      <x:c r="L173" s="16" t="str">
        <x:v>空白、—或/转为NULL并记录质量告警</x:v>
      </x:c>
      <x:c r="M173" s="16" t="str">
        <x:v>数值且非负</x:v>
      </x:c>
      <x:c r="N173" s="16" t="str">
        <x:v>端点不覆盖已有测量记录</x:v>
      </x:c>
      <x:c r="O173" s="16" t="str">
        <x:v>是</x:v>
      </x:c>
      <x:c r="P173" s="16" t="str">
        <x:v>单位状态见字段数据字典</x:v>
      </x:c>
    </x:row>
    <x:row r="174" ht="34" customHeight="1">
      <x:c r="A174" s="16" t="str">
        <x:v>M170</x:v>
      </x:c>
      <x:c r="B174" s="16" t="str">
        <x:v>data5-针阔-复配-纸张特性0110(1).xlsx</x:v>
      </x:c>
      <x:c r="C174" s="16" t="str">
        <x:v>0110</x:v>
      </x:c>
      <x:c r="D174" s="16" t="str">
        <x:v>Sheet1</x:v>
      </x:c>
      <x:c r="E174" s="22" t="n">
        <x:v>10</x:v>
      </x:c>
      <x:c r="F174" s="16" t="str">
        <x:v>耐折度</x:v>
      </x:c>
      <x:c r="G174" s="16" t="str">
        <x:v>待确认</x:v>
      </x:c>
      <x:c r="H174" s="16" t="str">
        <x:v>直接/条件</x:v>
      </x:c>
      <x:c r="I174" s="16" t="str">
        <x:v>paper_measurement</x:v>
      </x:c>
      <x:c r="J174" s="16" t="str">
        <x:v>folding_endurance_raw</x:v>
      </x:c>
      <x:c r="K174" s="16" t="str">
        <x:v>中间9点插入；zk010和zk100仅与已有纯浆值核对</x:v>
      </x:c>
      <x:c r="L174" s="16" t="str">
        <x:v>空白、—或/转为NULL并记录质量告警</x:v>
      </x:c>
      <x:c r="M174" s="16" t="str">
        <x:v>数值且非负</x:v>
      </x:c>
      <x:c r="N174" s="16" t="str">
        <x:v>端点不覆盖已有测量记录</x:v>
      </x:c>
      <x:c r="O174" s="16" t="str">
        <x:v>是</x:v>
      </x:c>
      <x:c r="P174" s="16" t="str">
        <x:v>单位状态见字段数据字典</x:v>
      </x:c>
    </x:row>
    <x:row r="175" ht="34" customHeight="1">
      <x:c r="A175" s="16" t="str">
        <x:v>M171</x:v>
      </x:c>
      <x:c r="B175" s="16" t="str">
        <x:v>data5-针阔-复配-纸张特性0110(1).xlsx</x:v>
      </x:c>
      <x:c r="C175" s="16" t="str">
        <x:v>0110</x:v>
      </x:c>
      <x:c r="D175" s="16" t="str">
        <x:v>Sheet1</x:v>
      </x:c>
      <x:c r="E175" s="22" t="n">
        <x:v>0</x:v>
      </x:c>
      <x:c r="F175" s="16" t="str">
        <x:v>〈实验规则〉</x:v>
      </x:c>
      <x:c r="G175" s="16" t="str">
        <x:v>次</x:v>
      </x:c>
      <x:c r="H175" s="16" t="str">
        <x:v>常量</x:v>
      </x:c>
      <x:c r="I175" s="16" t="str">
        <x:v>paper_measurement</x:v>
      </x:c>
      <x:c r="J175" s="16" t="str">
        <x:v>replicate_count</x:v>
      </x:c>
      <x:c r="K175" s="16" t="str">
        <x:v>固定写入3</x:v>
      </x:c>
      <x:c r="L175" s="16" t="str">
        <x:v>禁止为空</x:v>
      </x:c>
      <x:c r="M175" s="16" t="str">
        <x:v>等于3</x:v>
      </x:c>
      <x:c r="N175" s="16" t="str">
        <x:v>端点不覆盖已有记录</x:v>
      </x:c>
      <x:c r="O175" s="16" t="str">
        <x:v>是</x:v>
      </x:c>
      <x:c r="P175" s="16" t="str"/>
    </x:row>
    <x:row r="176" ht="34" customHeight="1">
      <x:c r="A176" s="16" t="str">
        <x:v>M172</x:v>
      </x:c>
      <x:c r="B176" s="16" t="str">
        <x:v>data5-针阔-复配-纸张特性0110(1).xlsx</x:v>
      </x:c>
      <x:c r="C176" s="16" t="str">
        <x:v>0110</x:v>
      </x:c>
      <x:c r="D176" s="16" t="str">
        <x:v>Sheet1</x:v>
      </x:c>
      <x:c r="E176" s="22" t="n">
        <x:v>0</x:v>
      </x:c>
      <x:c r="F176" s="16" t="str">
        <x:v>〈实验规则〉</x:v>
      </x:c>
      <x:c r="G176" s="16" t="str">
        <x:v>—</x:v>
      </x:c>
      <x:c r="H176" s="16" t="str">
        <x:v>常量</x:v>
      </x:c>
      <x:c r="I176" s="16" t="str">
        <x:v>paper_measurement</x:v>
      </x:c>
      <x:c r="J176" s="16" t="str">
        <x:v>aggregation_method</x:v>
      </x:c>
      <x:c r="K176" s="16" t="str">
        <x:v>固定写入“剔除偏差值后取最终均值”</x:v>
      </x:c>
      <x:c r="L176" s="16" t="str">
        <x:v>禁止为空</x:v>
      </x:c>
      <x:c r="M176" s="16" t="str">
        <x:v>非空</x:v>
      </x:c>
      <x:c r="N176" s="16" t="str">
        <x:v>源表数值按最终均值接收</x:v>
      </x:c>
      <x:c r="O176" s="16" t="str">
        <x:v>是</x:v>
      </x:c>
      <x:c r="P176" s="16" t="str"/>
    </x:row>
    <x:row r="177" ht="34" customHeight="1">
      <x:c r="A177" s="16" t="str">
        <x:v>M173</x:v>
      </x:c>
      <x:c r="B177" s="16" t="str">
        <x:v>data5-针阔-复配-纸张特性0110(1).xlsx</x:v>
      </x:c>
      <x:c r="C177" s="16" t="str">
        <x:v>0110</x:v>
      </x:c>
      <x:c r="D177" s="16" t="str">
        <x:v>Sheet1</x:v>
      </x:c>
      <x:c r="E177" s="22" t="n">
        <x:v>0</x:v>
      </x:c>
      <x:c r="F177" s="16" t="str">
        <x:v>〈当前来源行〉</x:v>
      </x:c>
      <x:c r="G177" s="16" t="str">
        <x:v>—</x:v>
      </x:c>
      <x:c r="H177" s="16" t="str">
        <x:v>关联</x:v>
      </x:c>
      <x:c r="I177" s="16" t="str">
        <x:v>paper_measurement</x:v>
      </x:c>
      <x:c r="J177" s="16" t="str">
        <x:v>source_id</x:v>
      </x:c>
      <x:c r="K177" s="16" t="str">
        <x:v>引用本行data_source.source_id</x:v>
      </x:c>
      <x:c r="L177" s="16" t="str">
        <x:v>禁止为空</x:v>
      </x:c>
      <x:c r="M177" s="16" t="str">
        <x:v>外键有效</x:v>
      </x:c>
      <x:c r="N177" s="16" t="str">
        <x:v>仅中间9点写入测量表</x:v>
      </x:c>
      <x:c r="O177" s="16" t="str">
        <x:v>是</x:v>
      </x:c>
      <x:c r="P177" s="16" t="str"/>
    </x:row>
    <x:row r="178" ht="34" customHeight="1">
      <x:c r="A178" s="16" t="str">
        <x:v>M174</x:v>
      </x:c>
      <x:c r="B178" s="16" t="str">
        <x:v>data4-针阔-复配-纤维特性(1).xlsx</x:v>
      </x:c>
      <x:c r="C178" s="16" t="str">
        <x:v>旧版</x:v>
      </x:c>
      <x:c r="D178" s="16" t="str">
        <x:v>—</x:v>
      </x:c>
      <x:c r="E178" s="22" t="n">
        <x:v>0</x:v>
      </x:c>
      <x:c r="F178" s="16" t="str">
        <x:v>〈全部内容〉</x:v>
      </x:c>
      <x:c r="G178" s="16" t="str">
        <x:v>—</x:v>
      </x:c>
      <x:c r="H178" s="16" t="str">
        <x:v>排除</x:v>
      </x:c>
      <x:c r="I178" s="16" t="str">
        <x:v>—</x:v>
      </x:c>
      <x:c r="J178" s="16" t="str">
        <x:v>—</x:v>
      </x:c>
      <x:c r="K178" s="16" t="str">
        <x:v>不读取、不移动、不进入正式库</x:v>
      </x:c>
      <x:c r="L178" s="16" t="str">
        <x:v>不适用</x:v>
      </x:c>
      <x:c r="M178" s="16" t="str">
        <x:v>文件名命中排除清单</x:v>
      </x:c>
      <x:c r="N178" s="16" t="str">
        <x:v>发现于导入批次时终止该批</x:v>
      </x:c>
      <x:c r="O178" s="16" t="str">
        <x:v>否</x:v>
      </x:c>
      <x:c r="P178" s="16" t="str">
        <x:v>复配仅使用0110版</x:v>
      </x:c>
    </x:row>
    <x:row r="179" ht="34" customHeight="1">
      <x:c r="A179" s="16" t="str">
        <x:v>M175</x:v>
      </x:c>
      <x:c r="B179" s="16" t="str">
        <x:v>data5-针阔-复配-纸张特性(1).xlsx</x:v>
      </x:c>
      <x:c r="C179" s="16" t="str">
        <x:v>旧版</x:v>
      </x:c>
      <x:c r="D179" s="16" t="str">
        <x:v>—</x:v>
      </x:c>
      <x:c r="E179" s="22" t="n">
        <x:v>0</x:v>
      </x:c>
      <x:c r="F179" s="16" t="str">
        <x:v>〈全部内容〉</x:v>
      </x:c>
      <x:c r="G179" s="16" t="str">
        <x:v>—</x:v>
      </x:c>
      <x:c r="H179" s="16" t="str">
        <x:v>排除</x:v>
      </x:c>
      <x:c r="I179" s="16" t="str">
        <x:v>—</x:v>
      </x:c>
      <x:c r="J179" s="16" t="str">
        <x:v>—</x:v>
      </x:c>
      <x:c r="K179" s="16" t="str">
        <x:v>不读取、不移动、不进入正式库</x:v>
      </x:c>
      <x:c r="L179" s="16" t="str">
        <x:v>不适用</x:v>
      </x:c>
      <x:c r="M179" s="16" t="str">
        <x:v>文件名命中排除清单</x:v>
      </x:c>
      <x:c r="N179" s="16" t="str">
        <x:v>发现于导入批次时终止该批</x:v>
      </x:c>
      <x:c r="O179" s="16" t="str">
        <x:v>否</x:v>
      </x:c>
      <x:c r="P179" s="16" t="str">
        <x:v>复配仅使用0110版</x:v>
      </x:c>
    </x:row>
    <x:row r="180" ht="34" customHeight="1">
      <x:c r="A180" s="16" t="str">
        <x:v>M176</x:v>
      </x:c>
      <x:c r="B180" s="16" t="str">
        <x:v>数据汇总(1).xlsx</x:v>
      </x:c>
      <x:c r="C180" s="16" t="str">
        <x:v>汇总版</x:v>
      </x:c>
      <x:c r="D180" s="16" t="str">
        <x:v>—</x:v>
      </x:c>
      <x:c r="E180" s="22" t="n">
        <x:v>0</x:v>
      </x:c>
      <x:c r="F180" s="16" t="str">
        <x:v>〈全部内容〉</x:v>
      </x:c>
      <x:c r="G180" s="16" t="str">
        <x:v>—</x:v>
      </x:c>
      <x:c r="H180" s="16" t="str">
        <x:v>排除</x:v>
      </x:c>
      <x:c r="I180" s="16" t="str">
        <x:v>—</x:v>
      </x:c>
      <x:c r="J180" s="16" t="str">
        <x:v>—</x:v>
      </x:c>
      <x:c r="K180" s="16" t="str">
        <x:v>不读取、不移动、不进入正式库</x:v>
      </x:c>
      <x:c r="L180" s="16" t="str">
        <x:v>不适用</x:v>
      </x:c>
      <x:c r="M180" s="16" t="str">
        <x:v>文件名命中排除清单</x:v>
      </x:c>
      <x:c r="N180" s="16" t="str">
        <x:v>发现于导入批次时终止该批</x:v>
      </x:c>
      <x:c r="O180" s="16" t="str">
        <x:v>否</x:v>
      </x:c>
      <x:c r="P180" s="16" t="str">
        <x:v>按用户决定不处理数据汇总</x:v>
      </x:c>
    </x:row>
  </x:sheetData>
  <x:mergeCells>
    <x:mergeCell ref="A1:P1"/>
    <x:mergeCell ref="A2:P2"/>
  </x:mergeCells>
  <x:conditionalFormatting sqref="O5:O180">
    <x:cfRule type="containsText" dxfId="4" priority="1" operator="containsText" text="是"/>
    <x:cfRule type="containsText" dxfId="5" priority="2" operator="containsText" text="否"/>
  </x:conditionalFormatting>
  <x:conditionalFormatting sqref="H5:H180">
    <x:cfRule type="containsText" dxfId="6" priority="3" operator="containsText" text="排除"/>
  </x:conditionalFormatting>
  <x:dataValidations count="1">
    <x:dataValidation type="list" sqref="O5:O18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d7f18335bd4b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8" hidden="0" customWidth="1"/>
    <x:col min="4" max="4" width="54" hidden="0" customWidth="1"/>
    <x:col min="5" max="5" width="12" hidden="0" customWidth="1"/>
    <x:col min="6" max="6" width="30" hidden="0" customWidth="1"/>
    <x:col min="7" max="7" width="42" hidden="0" customWidth="1"/>
    <x:col min="8" max="8" width="14" hidden="0" customWidth="1"/>
  </x:cols>
  <x:sheetData>
    <x:row r="1" ht="32" customHeight="1">
      <x:c r="A1" s="3" t="str">
        <x:v>植物纤维数据库｜入库规则与验收标准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数量基线由可审计公式计算；任何“阻断”规则失败时，当前文件批次整批回滚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一、预计数量基线</x:v>
      </x:c>
      <x:c r="B4" s="9"/>
      <x:c r="C4" s="9"/>
      <x:c r="D4" s="9"/>
      <x:c r="E4" s="9"/>
      <x:c r="F4" s="9"/>
      <x:c r="G4" s="9"/>
      <x:c r="H4" s="9"/>
    </x:row>
    <x:row r="5" ht="30" customHeight="1">
      <x:c r="A5" s="21" t="str">
        <x:v>基线项目</x:v>
      </x:c>
      <x:c r="B5" s="21" t="str">
        <x:v>预计数量</x:v>
      </x:c>
      <x:c r="C5" s="21" t="str">
        <x:v>计算依据</x:v>
      </x:c>
    </x:row>
    <x:row r="6" ht="34" customHeight="1">
      <x:c r="A6" s="16" t="str">
        <x:v>针叶木纯浆样本数</x:v>
      </x:c>
      <x:c r="B6" s="22" t="n">
        <x:v>28</x:v>
      </x:c>
      <x:c r="C6" s="16" t="str">
        <x:v>针叶木三个正式文件按打浆转数对齐</x:v>
      </x:c>
    </x:row>
    <x:row r="7" ht="34" customHeight="1">
      <x:c r="A7" s="16" t="str">
        <x:v>阔叶木纯浆样本数</x:v>
      </x:c>
      <x:c r="B7" s="22" t="n">
        <x:v>24</x:v>
      </x:c>
      <x:c r="C7" s="16" t="str">
        <x:v>阔叶木三个正式文件按打浆转数对齐</x:v>
      </x:c>
    </x:row>
    <x:row r="8" ht="34" customHeight="1">
      <x:c r="A8" s="16" t="str">
        <x:v>复配实验展示点数</x:v>
      </x:c>
      <x:c r="B8" s="22" t="n">
        <x:v>11</x:v>
      </x:c>
      <x:c r="C8" s="16" t="str">
        <x:v>zk010、zk19…zk100</x:v>
      </x:c>
    </x:row>
    <x:row r="9" ht="34" customHeight="1">
      <x:c r="A9" s="16" t="str">
        <x:v>复配复用端点数</x:v>
      </x:c>
      <x:c r="B9" s="22" t="n">
        <x:v>2</x:v>
      </x:c>
      <x:c r="C9" s="16" t="str">
        <x:v>zk010复用HW_R08000，zk100复用SW_R14000</x:v>
      </x:c>
    </x:row>
    <x:row r="10" ht="34" customHeight="1">
      <x:c r="A10" s="16" t="str">
        <x:v>复配新增样本数</x:v>
      </x:c>
      <x:c r="B10" s="22" t="n">
        <x:f>B8-B9</x:f>
        <x:v>9</x:v>
      </x:c>
      <x:c r="C10" s="16" t="str">
        <x:v>复配展示点减去两个复用端点</x:v>
      </x:c>
    </x:row>
    <x:row r="11" ht="34" customHeight="1">
      <x:c r="A11" s="16" t="str">
        <x:v>唯一样本总数</x:v>
      </x:c>
      <x:c r="B11" s="22" t="n">
        <x:f>B6+B7+B10</x:f>
        <x:v>61</x:v>
      </x:c>
      <x:c r="C11" s="16" t="str">
        <x:v>针叶木+阔叶木+复配新增样本</x:v>
      </x:c>
    </x:row>
    <x:row r="12" ht="34" customHeight="1">
      <x:c r="A12" s="16" t="str">
        <x:v>实验展示点总数</x:v>
      </x:c>
      <x:c r="B12" s="22" t="n">
        <x:f>B6+B7+B8</x:f>
        <x:v>63</x:v>
      </x:c>
      <x:c r="C12" s="16" t="str">
        <x:v>28+24+11</x:v>
      </x:c>
    </x:row>
    <x:row r="13" ht="34" customHeight="1">
      <x:c r="A13" s="16" t="str">
        <x:v>样本组分记录数</x:v>
      </x:c>
      <x:c r="B13" s="22" t="n">
        <x:f>B6+B7+B10*2</x:f>
        <x:v>70</x:v>
      </x:c>
      <x:c r="C13" s="16" t="str">
        <x:v>52个纯浆单组分+9个复配双组分</x:v>
      </x:c>
    </x:row>
    <x:row r="14" ht="34" customHeight="1">
      <x:c r="A14" s="16" t="str">
        <x:v>纤维测量记录数</x:v>
      </x:c>
      <x:c r="B14" s="22" t="n">
        <x:f>B11</x:f>
        <x:v>61</x:v>
      </x:c>
      <x:c r="C14" s="16" t="str">
        <x:v>每个唯一样本一条</x:v>
      </x:c>
    </x:row>
    <x:row r="15" ht="34" customHeight="1">
      <x:c r="A15" s="16" t="str">
        <x:v>纸张测量记录数</x:v>
      </x:c>
      <x:c r="B15" s="22" t="n">
        <x:f>B11</x:f>
        <x:v>61</x:v>
      </x:c>
      <x:c r="C15" s="16" t="str">
        <x:v>每个唯一样本一条</x:v>
      </x:c>
    </x:row>
    <x:row r="16" ht="34" customHeight="1">
      <x:c r="A16" s="16" t="str">
        <x:v>来源行记录数</x:v>
      </x:c>
      <x:c r="B16" s="22" t="n">
        <x:f>B6*3+B7*3+B8*2</x:f>
        <x:v>178</x:v>
      </x:c>
      <x:c r="C16" s="16" t="str">
        <x:v>针叶木3×28+阔叶木3×24+复配2×11</x:v>
      </x:c>
    </x:row>
    <x:row r="19" ht="24" customHeight="1">
      <x:c r="A19" s="9" t="str">
        <x:v>二、正式入库与交付验收规则</x:v>
      </x:c>
      <x:c r="B19" s="9"/>
      <x:c r="C19" s="9"/>
      <x:c r="D19" s="9"/>
      <x:c r="E19" s="9"/>
      <x:c r="F19" s="9"/>
      <x:c r="G19" s="9"/>
      <x:c r="H19" s="9"/>
    </x:row>
    <x:row r="20" ht="30" customHeight="1">
      <x:c r="A20" s="21" t="str">
        <x:v>规则ID</x:v>
      </x:c>
      <x:c r="B20" s="21" t="str">
        <x:v>类别</x:v>
      </x:c>
      <x:c r="C20" s="21" t="str">
        <x:v>检查对象</x:v>
      </x:c>
      <x:c r="D20" s="21" t="str">
        <x:v>正式规则</x:v>
      </x:c>
      <x:c r="E20" s="21" t="str">
        <x:v>级别</x:v>
      </x:c>
      <x:c r="F20" s="21" t="str">
        <x:v>预期结果</x:v>
      </x:c>
      <x:c r="G20" s="21" t="str">
        <x:v>失败处理</x:v>
      </x:c>
      <x:c r="H20" s="21" t="str">
        <x:v>规则状态</x:v>
      </x:c>
    </x:row>
    <x:row r="21" ht="34" customHeight="1">
      <x:c r="A21" s="16" t="str">
        <x:v>R001</x:v>
      </x:c>
      <x:c r="B21" s="16" t="str">
        <x:v>来源</x:v>
      </x:c>
      <x:c r="C21" s="16" t="str">
        <x:v>正式文件白名单</x:v>
      </x:c>
      <x:c r="D21" s="16" t="str">
        <x:v>仅允许8份正式Excel参与导入</x:v>
      </x:c>
      <x:c r="E21" s="16" t="str">
        <x:v>阻断</x:v>
      </x:c>
      <x:c r="F21" s="16" t="str">
        <x:v>8份</x:v>
      </x:c>
      <x:c r="G21" s="16" t="str">
        <x:v>终止该批并记录文件名</x:v>
      </x:c>
      <x:c r="H21" s="16" t="str">
        <x:v>已确定</x:v>
      </x:c>
    </x:row>
    <x:row r="22" ht="34" customHeight="1">
      <x:c r="A22" s="16" t="str">
        <x:v>R002</x:v>
      </x:c>
      <x:c r="B22" s="16" t="str">
        <x:v>来源</x:v>
      </x:c>
      <x:c r="C22" s="16" t="str">
        <x:v>数据汇总(1).xlsx</x:v>
      </x:c>
      <x:c r="D22" s="16" t="str">
        <x:v>不读取、不导入、不移动到隔离区</x:v>
      </x:c>
      <x:c r="E22" s="16" t="str">
        <x:v>阻断</x:v>
      </x:c>
      <x:c r="F22" s="16" t="str">
        <x:v>0条正式记录</x:v>
      </x:c>
      <x:c r="G22" s="16" t="str">
        <x:v>终止该批</x:v>
      </x:c>
      <x:c r="H22" s="16" t="str">
        <x:v>已确定</x:v>
      </x:c>
    </x:row>
    <x:row r="23" ht="34" customHeight="1">
      <x:c r="A23" s="16" t="str">
        <x:v>R003</x:v>
      </x:c>
      <x:c r="B23" s="16" t="str">
        <x:v>版本</x:v>
      </x:c>
      <x:c r="C23" s="16" t="str">
        <x:v>复配文件</x:v>
      </x:c>
      <x:c r="D23" s="16" t="str">
        <x:v>只允许文件名含0110的纤维和纸张文件</x:v>
      </x:c>
      <x:c r="E23" s="16" t="str">
        <x:v>阻断</x:v>
      </x:c>
      <x:c r="F23" s="16" t="str">
        <x:v>版本=0110</x:v>
      </x:c>
      <x:c r="G23" s="16" t="str">
        <x:v>拒绝旧版</x:v>
      </x:c>
      <x:c r="H23" s="16" t="str">
        <x:v>已确定</x:v>
      </x:c>
    </x:row>
    <x:row r="24" ht="34" customHeight="1">
      <x:c r="A24" s="16" t="str">
        <x:v>R004</x:v>
      </x:c>
      <x:c r="B24" s="16" t="str">
        <x:v>工作表</x:v>
      </x:c>
      <x:c r="C24" s="16" t="str">
        <x:v>8份正式文件</x:v>
      </x:c>
      <x:c r="D24" s="16" t="str">
        <x:v>只处理有效Sheet1；空白Sheet2/Sheet3忽略</x:v>
      </x:c>
      <x:c r="E24" s="16" t="str">
        <x:v>阻断</x:v>
      </x:c>
      <x:c r="F24" s="16" t="str">
        <x:v>8个有效工作表</x:v>
      </x:c>
      <x:c r="G24" s="16" t="str">
        <x:v>缺失Sheet1时终止</x:v>
      </x:c>
      <x:c r="H24" s="16" t="str">
        <x:v>已确定</x:v>
      </x:c>
    </x:row>
    <x:row r="25" ht="34" customHeight="1">
      <x:c r="A25" s="16" t="str">
        <x:v>R005</x:v>
      </x:c>
      <x:c r="B25" s="16" t="str">
        <x:v>样本</x:v>
      </x:c>
      <x:c r="C25" s="16" t="str">
        <x:v>sample.canonical_code</x:v>
      </x:c>
      <x:c r="D25" s="16" t="str">
        <x:v>标准样本代码全库唯一</x:v>
      </x:c>
      <x:c r="E25" s="16" t="str">
        <x:v>阻断</x:v>
      </x:c>
      <x:c r="F25" s="16" t="str">
        <x:v>61个且无重复</x:v>
      </x:c>
      <x:c r="G25" s="16" t="str">
        <x:v>定位来源行后重新映射</x:v>
      </x:c>
      <x:c r="H25" s="16" t="str">
        <x:v>已确定</x:v>
      </x:c>
    </x:row>
    <x:row r="26" ht="34" customHeight="1">
      <x:c r="A26" s="16" t="str">
        <x:v>R006</x:v>
      </x:c>
      <x:c r="B26" s="16" t="str">
        <x:v>样本</x:v>
      </x:c>
      <x:c r="C26" s="16" t="str">
        <x:v>复配端点</x:v>
      </x:c>
      <x:c r="D26" s="16" t="str">
        <x:v>zk010引用HW_R08000；zk100引用SW_R14000</x:v>
      </x:c>
      <x:c r="E26" s="16" t="str">
        <x:v>阻断</x:v>
      </x:c>
      <x:c r="F26" s="16" t="str">
        <x:v>复用2个纯浆样本</x:v>
      </x:c>
      <x:c r="G26" s="16" t="str">
        <x:v>禁止复制端点形成新样本</x:v>
      </x:c>
      <x:c r="H26" s="16" t="str">
        <x:v>已确定</x:v>
      </x:c>
    </x:row>
    <x:row r="27" ht="34" customHeight="1">
      <x:c r="A27" s="16" t="str">
        <x:v>R007</x:v>
      </x:c>
      <x:c r="B27" s="16" t="str">
        <x:v>展示点</x:v>
      </x:c>
      <x:c r="C27" s="16" t="str">
        <x:v>experiment_sample</x:v>
      </x:c>
      <x:c r="D27" s="16" t="str">
        <x:v>针叶木28点、阔叶木24点、复配11点</x:v>
      </x:c>
      <x:c r="E27" s="16" t="str">
        <x:v>阻断</x:v>
      </x:c>
      <x:c r="F27" s="16" t="str">
        <x:v>总数63</x:v>
      </x:c>
      <x:c r="G27" s="16" t="str">
        <x:v>检查编号和显示顺序</x:v>
      </x:c>
      <x:c r="H27" s="16" t="str">
        <x:v>已确定</x:v>
      </x:c>
    </x:row>
    <x:row r="28" ht="34" customHeight="1">
      <x:c r="A28" s="16" t="str">
        <x:v>R008</x:v>
      </x:c>
      <x:c r="B28" s="16" t="str">
        <x:v>组成</x:v>
      </x:c>
      <x:c r="C28" s="16" t="str">
        <x:v>sample_component.proportion_pct</x:v>
      </x:c>
      <x:c r="D28" s="16" t="str">
        <x:v>每个比例0至100%，同一样本合计100%</x:v>
      </x:c>
      <x:c r="E28" s="16" t="str">
        <x:v>阻断</x:v>
      </x:c>
      <x:c r="F28" s="16" t="str">
        <x:v>70条组分记录</x:v>
      </x:c>
      <x:c r="G28" s="16" t="str">
        <x:v>拒绝入库并回查原始行</x:v>
      </x:c>
      <x:c r="H28" s="16" t="str">
        <x:v>已确定</x:v>
      </x:c>
    </x:row>
    <x:row r="29" ht="34" customHeight="1">
      <x:c r="A29" s="16" t="str">
        <x:v>R009</x:v>
      </x:c>
      <x:c r="B29" s="16" t="str">
        <x:v>组成</x:v>
      </x:c>
      <x:c r="C29" s="16" t="str">
        <x:v>复配固定原料</x:v>
      </x:c>
      <x:c r="D29" s="16" t="str">
        <x:v>SW固定14000r/41°SR；HW固定8000r/40.6°SR</x:v>
      </x:c>
      <x:c r="E29" s="16" t="str">
        <x:v>阻断</x:v>
      </x:c>
      <x:c r="F29" s="16" t="str">
        <x:v>9个中间点均符合</x:v>
      </x:c>
      <x:c r="G29" s="16" t="str">
        <x:v>终止复配批次</x:v>
      </x:c>
      <x:c r="H29" s="16" t="str">
        <x:v>已确定</x:v>
      </x:c>
    </x:row>
    <x:row r="30" ht="34" customHeight="1">
      <x:c r="A30" s="16" t="str">
        <x:v>R010</x:v>
      </x:c>
      <x:c r="B30" s="16" t="str">
        <x:v>测量</x:v>
      </x:c>
      <x:c r="C30" s="16" t="str">
        <x:v>fiber_measurement</x:v>
      </x:c>
      <x:c r="D30" s="16" t="str">
        <x:v>每个sample_id最多一条纤维记录</x:v>
      </x:c>
      <x:c r="E30" s="16" t="str">
        <x:v>阻断</x:v>
      </x:c>
      <x:c r="F30" s="16" t="str">
        <x:v>61条</x:v>
      </x:c>
      <x:c r="G30" s="16" t="str">
        <x:v>端点只核对不插入</x:v>
      </x:c>
      <x:c r="H30" s="16" t="str">
        <x:v>已确定</x:v>
      </x:c>
    </x:row>
    <x:row r="31" ht="34" customHeight="1">
      <x:c r="A31" s="16" t="str">
        <x:v>R011</x:v>
      </x:c>
      <x:c r="B31" s="16" t="str">
        <x:v>测量</x:v>
      </x:c>
      <x:c r="C31" s="16" t="str">
        <x:v>paper_measurement</x:v>
      </x:c>
      <x:c r="D31" s="16" t="str">
        <x:v>每个sample_id最多一条纸张记录</x:v>
      </x:c>
      <x:c r="E31" s="16" t="str">
        <x:v>阻断</x:v>
      </x:c>
      <x:c r="F31" s="16" t="str">
        <x:v>61条</x:v>
      </x:c>
      <x:c r="G31" s="16" t="str">
        <x:v>端点只核对不插入</x:v>
      </x:c>
      <x:c r="H31" s="16" t="str">
        <x:v>已确定</x:v>
      </x:c>
    </x:row>
    <x:row r="32" ht="34" customHeight="1">
      <x:c r="A32" s="16" t="str">
        <x:v>R012</x:v>
      </x:c>
      <x:c r="B32" s="16" t="str">
        <x:v>字段</x:v>
      </x:c>
      <x:c r="C32" s="16" t="str">
        <x:v>12项纤维特性</x:v>
      </x:c>
      <x:c r="D32" s="16" t="str">
        <x:v>全部保留，不在入库阶段筛选变量</x:v>
      </x:c>
      <x:c r="E32" s="16" t="str">
        <x:v>阻断</x:v>
      </x:c>
      <x:c r="F32" s="16" t="str">
        <x:v>12项均有映射</x:v>
      </x:c>
      <x:c r="G32" s="16" t="str">
        <x:v>缺列时终止对应文件</x:v>
      </x:c>
      <x:c r="H32" s="16" t="str">
        <x:v>已确定</x:v>
      </x:c>
    </x:row>
    <x:row r="33" ht="34" customHeight="1">
      <x:c r="A33" s="16" t="str">
        <x:v>R013</x:v>
      </x:c>
      <x:c r="B33" s="16" t="str">
        <x:v>字段</x:v>
      </x:c>
      <x:c r="C33" s="16" t="str">
        <x:v>9项纸张性能</x:v>
      </x:c>
      <x:c r="D33" s="16" t="str">
        <x:v>全部保留，不在入库阶段筛选变量</x:v>
      </x:c>
      <x:c r="E33" s="16" t="str">
        <x:v>阻断</x:v>
      </x:c>
      <x:c r="F33" s="16" t="str">
        <x:v>9项均有映射</x:v>
      </x:c>
      <x:c r="G33" s="16" t="str">
        <x:v>缺列时终止对应文件</x:v>
      </x:c>
      <x:c r="H33" s="16" t="str">
        <x:v>已确定</x:v>
      </x:c>
    </x:row>
    <x:row r="34" ht="34" customHeight="1">
      <x:c r="A34" s="16" t="str">
        <x:v>R014</x:v>
      </x:c>
      <x:c r="B34" s="16" t="str">
        <x:v>空值</x:v>
      </x:c>
      <x:c r="C34" s="16" t="str">
        <x:v>测量字段</x:v>
      </x:c>
      <x:c r="D34" s="16" t="str">
        <x:v>空白、—和/统一转为NULL，禁止转为0</x:v>
      </x:c>
      <x:c r="E34" s="16" t="str">
        <x:v>警告</x:v>
      </x:c>
      <x:c r="F34" s="16" t="str">
        <x:v>NULL可追溯</x:v>
      </x:c>
      <x:c r="G34" s="16" t="str">
        <x:v>记录质量告警</x:v>
      </x:c>
      <x:c r="H34" s="16" t="str">
        <x:v>已确定</x:v>
      </x:c>
    </x:row>
    <x:row r="35" ht="34" customHeight="1">
      <x:c r="A35" s="16" t="str">
        <x:v>R015</x:v>
      </x:c>
      <x:c r="B35" s="16" t="str">
        <x:v>数值</x:v>
      </x:c>
      <x:c r="C35" s="16" t="str">
        <x:v>数值型字段</x:v>
      </x:c>
      <x:c r="D35" s="16" t="str">
        <x:v>去除表头单位后转换；原始单元格必须为数值或可识别空值</x:v>
      </x:c>
      <x:c r="E35" s="16" t="str">
        <x:v>阻断</x:v>
      </x:c>
      <x:c r="F35" s="16" t="str">
        <x:v>无非法文本</x:v>
      </x:c>
      <x:c r="G35" s="16" t="str">
        <x:v>终止该行所属批次</x:v>
      </x:c>
      <x:c r="H35" s="16" t="str">
        <x:v>已确定</x:v>
      </x:c>
    </x:row>
    <x:row r="36" ht="34" customHeight="1">
      <x:c r="A36" s="16" t="str">
        <x:v>R016</x:v>
      </x:c>
      <x:c r="B36" s="16" t="str">
        <x:v>单位</x:v>
      </x:c>
      <x:c r="C36" s="16" t="str">
        <x:v>air_permeability</x:v>
      </x:c>
      <x:c r="D36" s="16" t="str">
        <x:v>数据库暂按μm/(Pa·s)记录，源表未标注单位</x:v>
      </x:c>
      <x:c r="E36" s="16" t="str">
        <x:v>警告</x:v>
      </x:c>
      <x:c r="F36" s="16" t="str">
        <x:v>数值原样保留</x:v>
      </x:c>
      <x:c r="G36" s="16" t="str">
        <x:v>待仪器或实验记录复核后更新字典</x:v>
      </x:c>
      <x:c r="H36" s="16" t="str">
        <x:v>待确认</x:v>
      </x:c>
    </x:row>
    <x:row r="37" ht="34" customHeight="1">
      <x:c r="A37" s="16" t="str">
        <x:v>R017</x:v>
      </x:c>
      <x:c r="B37" s="16" t="str">
        <x:v>单位</x:v>
      </x:c>
      <x:c r="C37" s="16" t="str">
        <x:v>folding_endurance_raw</x:v>
      </x:c>
      <x:c r="D37" s="16" t="str">
        <x:v>耐折度单位不推断，字段名明确标记raw</x:v>
      </x:c>
      <x:c r="E37" s="16" t="str">
        <x:v>警告</x:v>
      </x:c>
      <x:c r="F37" s="16" t="str">
        <x:v>原始值不变</x:v>
      </x:c>
      <x:c r="G37" s="16" t="str">
        <x:v>确认单位后仅更新元数据</x:v>
      </x:c>
      <x:c r="H37" s="16" t="str">
        <x:v>待确认</x:v>
      </x:c>
    </x:row>
    <x:row r="38" ht="34" customHeight="1">
      <x:c r="A38" s="16" t="str">
        <x:v>R018</x:v>
      </x:c>
      <x:c r="B38" s="16" t="str">
        <x:v>聚合</x:v>
      </x:c>
      <x:c r="C38" s="16" t="str">
        <x:v>paper_measurement</x:v>
      </x:c>
      <x:c r="D38" s="16" t="str">
        <x:v>纸张性能保存剔除偏差值后的最终均值</x:v>
      </x:c>
      <x:c r="E38" s="16" t="str">
        <x:v>阻断</x:v>
      </x:c>
      <x:c r="F38" s="16" t="str">
        <x:v>replicate_count=3</x:v>
      </x:c>
      <x:c r="G38" s="16" t="str">
        <x:v>规则不符时不得导入</x:v>
      </x:c>
      <x:c r="H38" s="16" t="str">
        <x:v>已确定</x:v>
      </x:c>
    </x:row>
    <x:row r="39" ht="34" customHeight="1">
      <x:c r="A39" s="16" t="str">
        <x:v>R019</x:v>
      </x:c>
      <x:c r="B39" s="16" t="str">
        <x:v>追溯</x:v>
      </x:c>
      <x:c r="C39" s="16" t="str">
        <x:v>data_source</x:v>
      </x:c>
      <x:c r="D39" s="16" t="str">
        <x:v>正式记录能够定位文件、工作表和Excel原始行</x:v>
      </x:c>
      <x:c r="E39" s="16" t="str">
        <x:v>阻断</x:v>
      </x:c>
      <x:c r="F39" s="16" t="str">
        <x:v>178条来源行</x:v>
      </x:c>
      <x:c r="G39" s="16" t="str">
        <x:v>缺少来源的记录不得验收</x:v>
      </x:c>
      <x:c r="H39" s="16" t="str">
        <x:v>已确定</x:v>
      </x:c>
    </x:row>
    <x:row r="40" ht="34" customHeight="1">
      <x:c r="A40" s="16" t="str">
        <x:v>R020</x:v>
      </x:c>
      <x:c r="B40" s="16" t="str">
        <x:v>事务</x:v>
      </x:c>
      <x:c r="C40" s="16" t="str">
        <x:v>单文件导入</x:v>
      </x:c>
      <x:c r="D40" s="16" t="str">
        <x:v>先校验后写入；任一阻断规则失败则整批回滚</x:v>
      </x:c>
      <x:c r="E40" s="16" t="str">
        <x:v>阻断</x:v>
      </x:c>
      <x:c r="F40" s="16" t="str">
        <x:v>无半批数据</x:v>
      </x:c>
      <x:c r="G40" s="16" t="str">
        <x:v>回滚并输出错误清单</x:v>
      </x:c>
      <x:c r="H40" s="16" t="str">
        <x:v>已确定</x:v>
      </x:c>
    </x:row>
    <x:row r="41" ht="34" customHeight="1">
      <x:c r="A41" s="16" t="str">
        <x:v>R021</x:v>
      </x:c>
      <x:c r="B41" s="16" t="str">
        <x:v>权限</x:v>
      </x:c>
      <x:c r="C41" s="16" t="str">
        <x:v>可视化平台</x:v>
      </x:c>
      <x:c r="D41" s="16" t="str">
        <x:v>平台账号只读查询视图，不直接修改正式表</x:v>
      </x:c>
      <x:c r="E41" s="16" t="str">
        <x:v>阻断</x:v>
      </x:c>
      <x:c r="F41" s="16" t="str">
        <x:v>仅SELECT权限</x:v>
      </x:c>
      <x:c r="G41" s="16" t="str">
        <x:v>撤销多余权限</x:v>
      </x:c>
      <x:c r="H41" s="16" t="str">
        <x:v>已确定</x:v>
      </x:c>
    </x:row>
    <x:row r="42" ht="34" customHeight="1">
      <x:c r="A42" s="16" t="str">
        <x:v>R022</x:v>
      </x:c>
      <x:c r="B42" s="16" t="str">
        <x:v>交付</x:v>
      </x:c>
      <x:c r="C42" s="16" t="str">
        <x:v>备份恢复</x:v>
      </x:c>
      <x:c r="D42" s="16" t="str">
        <x:v>备份必须在空环境恢复并复核核心数量</x:v>
      </x:c>
      <x:c r="E42" s="16" t="str">
        <x:v>阻断</x:v>
      </x:c>
      <x:c r="F42" s="16" t="str">
        <x:v>恢复结果与验收库一致</x:v>
      </x:c>
      <x:c r="G42" s="16" t="str">
        <x:v>未通过恢复验证不得交付</x:v>
      </x:c>
      <x:c r="H42" s="16" t="str">
        <x:v>已确定</x:v>
      </x:c>
    </x:row>
  </x:sheetData>
  <x:mergeCells>
    <x:mergeCell ref="A1:H1"/>
    <x:mergeCell ref="A2:H2"/>
    <x:mergeCell ref="A4:H4"/>
    <x:mergeCell ref="A19:H19"/>
  </x:mergeCells>
  <x:conditionalFormatting sqref="E21:E42">
    <x:cfRule type="containsText" dxfId="7" priority="1" operator="containsText" text="阻断"/>
    <x:cfRule type="containsText" dxfId="8" priority="2" operator="containsText" text="警告"/>
  </x:conditionalFormatting>
  <x:conditionalFormatting sqref="H21:H42">
    <x:cfRule type="containsText" dxfId="9" priority="3" operator="containsText" text="待确认"/>
  </x:conditionalFormatting>
  <x:pageMargins left="0.7" right="0.7" top="0.75" bottom="0.75" header="0.3" footer="0.3"/>
  <x:tableParts count="2">
    <x:tablePart xmlns:r="http://schemas.openxmlformats.org/officeDocument/2006/relationships" r:id="R5c4f535631144af4"/>
    <x:tablePart xmlns:r="http://schemas.openxmlformats.org/officeDocument/2006/relationships" r:id="R81e9310e14024ff9"/>
  </x:tableParts>
</x:worksheet>
</file>